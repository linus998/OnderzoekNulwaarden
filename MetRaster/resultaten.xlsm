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BE1959\Desktop\"/>
    </mc:Choice>
  </mc:AlternateContent>
  <xr:revisionPtr revIDLastSave="0" documentId="13_ncr:1_{3544C7C2-ABE5-4984-BA56-9A92CE742A4C}" xr6:coauthVersionLast="47" xr6:coauthVersionMax="47" xr10:uidLastSave="{00000000-0000-0000-0000-000000000000}"/>
  <bookViews>
    <workbookView xWindow="-25320" yWindow="-2400" windowWidth="25440" windowHeight="15270" activeTab="2" xr2:uid="{00000000-000D-0000-FFFF-FFFF00000000}"/>
  </bookViews>
  <sheets>
    <sheet name="Resultaten" sheetId="1" r:id="rId1"/>
    <sheet name="ZonderEerste graad" sheetId="3" r:id="rId2"/>
    <sheet name="Grafieken" sheetId="2" r:id="rId3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3" i="3" l="1"/>
  <c r="K63" i="3" s="1"/>
  <c r="K62" i="3"/>
  <c r="J62" i="3"/>
  <c r="I62" i="3"/>
  <c r="K61" i="3"/>
  <c r="J61" i="3"/>
  <c r="I61" i="3"/>
  <c r="K60" i="3"/>
  <c r="J60" i="3"/>
  <c r="I60" i="3"/>
  <c r="K59" i="3"/>
  <c r="J59" i="3"/>
  <c r="I59" i="3"/>
  <c r="K58" i="3"/>
  <c r="J58" i="3"/>
  <c r="I58" i="3"/>
  <c r="K57" i="3"/>
  <c r="J57" i="3"/>
  <c r="I57" i="3"/>
  <c r="K56" i="3"/>
  <c r="J56" i="3"/>
  <c r="I56" i="3"/>
  <c r="K55" i="3"/>
  <c r="J55" i="3"/>
  <c r="I55" i="3"/>
  <c r="K54" i="3"/>
  <c r="J54" i="3"/>
  <c r="I54" i="3"/>
  <c r="K53" i="3"/>
  <c r="J53" i="3"/>
  <c r="I53" i="3"/>
  <c r="K52" i="3"/>
  <c r="J52" i="3"/>
  <c r="I52" i="3"/>
  <c r="K51" i="3"/>
  <c r="J51" i="3"/>
  <c r="I51" i="3"/>
  <c r="K50" i="3"/>
  <c r="J50" i="3"/>
  <c r="I50" i="3"/>
  <c r="K49" i="3"/>
  <c r="J49" i="3"/>
  <c r="I49" i="3"/>
  <c r="K48" i="3"/>
  <c r="J48" i="3"/>
  <c r="I48" i="3"/>
  <c r="K47" i="3"/>
  <c r="J47" i="3"/>
  <c r="I47" i="3"/>
  <c r="K46" i="3"/>
  <c r="J46" i="3"/>
  <c r="I46" i="3"/>
  <c r="K45" i="3"/>
  <c r="J45" i="3"/>
  <c r="I45" i="3"/>
  <c r="K44" i="3"/>
  <c r="J44" i="3"/>
  <c r="I44" i="3"/>
  <c r="K43" i="3"/>
  <c r="J43" i="3"/>
  <c r="I43" i="3"/>
  <c r="K42" i="3"/>
  <c r="J42" i="3"/>
  <c r="I42" i="3"/>
  <c r="K41" i="3"/>
  <c r="J41" i="3"/>
  <c r="I41" i="3"/>
  <c r="K40" i="3"/>
  <c r="J40" i="3"/>
  <c r="I40" i="3"/>
  <c r="K39" i="3"/>
  <c r="J39" i="3"/>
  <c r="I39" i="3"/>
  <c r="K38" i="3"/>
  <c r="J38" i="3"/>
  <c r="I38" i="3"/>
  <c r="K37" i="3"/>
  <c r="J37" i="3"/>
  <c r="I37" i="3"/>
  <c r="T36" i="3"/>
  <c r="K36" i="3"/>
  <c r="J36" i="3"/>
  <c r="I36" i="3"/>
  <c r="K35" i="3"/>
  <c r="J35" i="3"/>
  <c r="I35" i="3"/>
  <c r="K34" i="3"/>
  <c r="J34" i="3"/>
  <c r="I34" i="3"/>
  <c r="K33" i="3"/>
  <c r="J33" i="3"/>
  <c r="I33" i="3"/>
  <c r="K32" i="3"/>
  <c r="J32" i="3"/>
  <c r="I32" i="3"/>
  <c r="K31" i="3"/>
  <c r="J31" i="3"/>
  <c r="I31" i="3"/>
  <c r="K30" i="3"/>
  <c r="J30" i="3"/>
  <c r="I30" i="3"/>
  <c r="K29" i="3"/>
  <c r="J29" i="3"/>
  <c r="I29" i="3"/>
  <c r="K28" i="3"/>
  <c r="J28" i="3"/>
  <c r="I28" i="3"/>
  <c r="K27" i="3"/>
  <c r="J27" i="3"/>
  <c r="I27" i="3"/>
  <c r="K26" i="3"/>
  <c r="J26" i="3"/>
  <c r="I26" i="3"/>
  <c r="K25" i="3"/>
  <c r="J25" i="3"/>
  <c r="I25" i="3"/>
  <c r="K24" i="3"/>
  <c r="J24" i="3"/>
  <c r="I24" i="3"/>
  <c r="K23" i="3"/>
  <c r="J23" i="3"/>
  <c r="I23" i="3"/>
  <c r="K22" i="3"/>
  <c r="J22" i="3"/>
  <c r="I22" i="3"/>
  <c r="K21" i="3"/>
  <c r="J21" i="3"/>
  <c r="I21" i="3"/>
  <c r="K20" i="3"/>
  <c r="J20" i="3"/>
  <c r="I20" i="3"/>
  <c r="K19" i="3"/>
  <c r="J19" i="3"/>
  <c r="I19" i="3"/>
  <c r="K18" i="3"/>
  <c r="J18" i="3"/>
  <c r="I18" i="3"/>
  <c r="K17" i="3"/>
  <c r="J17" i="3"/>
  <c r="I17" i="3"/>
  <c r="G16" i="3"/>
  <c r="K16" i="3" s="1"/>
  <c r="G15" i="3"/>
  <c r="J15" i="3" s="1"/>
  <c r="G14" i="3"/>
  <c r="K14" i="3" s="1"/>
  <c r="K13" i="3"/>
  <c r="J13" i="3"/>
  <c r="I13" i="3"/>
  <c r="K12" i="3"/>
  <c r="J12" i="3"/>
  <c r="I12" i="3"/>
  <c r="K11" i="3"/>
  <c r="J11" i="3"/>
  <c r="I11" i="3"/>
  <c r="K10" i="3"/>
  <c r="J10" i="3"/>
  <c r="I10" i="3"/>
  <c r="K9" i="3"/>
  <c r="J9" i="3"/>
  <c r="I9" i="3"/>
  <c r="K8" i="3"/>
  <c r="J8" i="3"/>
  <c r="I8" i="3"/>
  <c r="K7" i="3"/>
  <c r="J7" i="3"/>
  <c r="I7" i="3"/>
  <c r="T6" i="3"/>
  <c r="K6" i="3"/>
  <c r="J6" i="3"/>
  <c r="I6" i="3"/>
  <c r="K5" i="3"/>
  <c r="J5" i="3"/>
  <c r="I5" i="3"/>
  <c r="K4" i="3"/>
  <c r="J4" i="3"/>
  <c r="I4" i="3"/>
  <c r="K3" i="3"/>
  <c r="G3" i="3"/>
  <c r="J3" i="3" s="1"/>
  <c r="V2" i="3"/>
  <c r="T50" i="3" s="1"/>
  <c r="K2" i="3"/>
  <c r="J2" i="3"/>
  <c r="I2" i="3"/>
  <c r="V2" i="1"/>
  <c r="U70" i="1" s="1"/>
  <c r="T65" i="1"/>
  <c r="T64" i="1"/>
  <c r="U60" i="1"/>
  <c r="T60" i="1"/>
  <c r="U56" i="1"/>
  <c r="T56" i="1"/>
  <c r="U49" i="1"/>
  <c r="U46" i="1"/>
  <c r="T43" i="1"/>
  <c r="U40" i="1"/>
  <c r="T40" i="1"/>
  <c r="U39" i="1"/>
  <c r="T39" i="1"/>
  <c r="U37" i="1"/>
  <c r="U35" i="1"/>
  <c r="T35" i="1"/>
  <c r="T34" i="1"/>
  <c r="T32" i="1"/>
  <c r="U28" i="1"/>
  <c r="T28" i="1"/>
  <c r="U26" i="1"/>
  <c r="T23" i="1"/>
  <c r="T22" i="1"/>
  <c r="T20" i="1"/>
  <c r="U16" i="1"/>
  <c r="U15" i="1"/>
  <c r="T15" i="1"/>
  <c r="T12" i="1"/>
  <c r="T7" i="1"/>
  <c r="T6" i="1"/>
  <c r="U3" i="1"/>
  <c r="T3" i="1"/>
  <c r="T2" i="1"/>
  <c r="K3" i="1"/>
  <c r="K4" i="1"/>
  <c r="K5" i="1"/>
  <c r="K6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J3" i="1"/>
  <c r="J4" i="1"/>
  <c r="J5" i="1"/>
  <c r="J6" i="1"/>
  <c r="J7" i="1"/>
  <c r="J8" i="1"/>
  <c r="J9" i="1"/>
  <c r="J10" i="1"/>
  <c r="J11" i="1"/>
  <c r="J12" i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J2" i="1"/>
  <c r="G78" i="1"/>
  <c r="T19" i="3" l="1"/>
  <c r="I15" i="3"/>
  <c r="T34" i="3"/>
  <c r="U36" i="3"/>
  <c r="U6" i="3"/>
  <c r="U13" i="3"/>
  <c r="K15" i="3"/>
  <c r="T17" i="3"/>
  <c r="T51" i="3"/>
  <c r="T10" i="3"/>
  <c r="T2" i="3"/>
  <c r="I3" i="3"/>
  <c r="I14" i="3"/>
  <c r="I16" i="3"/>
  <c r="T29" i="3"/>
  <c r="T37" i="3"/>
  <c r="T55" i="3"/>
  <c r="I63" i="3"/>
  <c r="T5" i="3"/>
  <c r="J14" i="3"/>
  <c r="J16" i="3"/>
  <c r="T20" i="3"/>
  <c r="T27" i="3"/>
  <c r="U37" i="3"/>
  <c r="U55" i="3"/>
  <c r="J63" i="3"/>
  <c r="U7" i="1"/>
  <c r="T26" i="1"/>
  <c r="T37" i="1"/>
  <c r="T49" i="1"/>
  <c r="T45" i="1"/>
  <c r="T57" i="1"/>
  <c r="T67" i="1"/>
  <c r="U45" i="1"/>
  <c r="U57" i="1"/>
  <c r="U67" i="1"/>
  <c r="T46" i="1"/>
  <c r="T58" i="1"/>
  <c r="T70" i="1"/>
  <c r="U58" i="1"/>
  <c r="K78" i="1"/>
  <c r="K2" i="1"/>
  <c r="G19" i="1"/>
  <c r="G18" i="1"/>
  <c r="G17" i="1"/>
  <c r="G10" i="1"/>
  <c r="G4" i="1"/>
  <c r="I2" i="1"/>
</calcChain>
</file>

<file path=xl/sharedStrings.xml><?xml version="1.0" encoding="utf-8"?>
<sst xmlns="http://schemas.openxmlformats.org/spreadsheetml/2006/main" count="171" uniqueCount="87">
  <si>
    <t>Functie</t>
  </si>
  <si>
    <t>Aantal Nulpunten</t>
  </si>
  <si>
    <t>Wortels Bis</t>
  </si>
  <si>
    <t>Wortels New</t>
  </si>
  <si>
    <t>Wortels Sec</t>
  </si>
  <si>
    <t>-5*x**2 - 3*x</t>
  </si>
  <si>
    <t>4*x</t>
  </si>
  <si>
    <t>9 - 5*x**2</t>
  </si>
  <si>
    <t>-10*x**4 - 8*x**3 - 3*x</t>
  </si>
  <si>
    <t>4*x**4 + 4*x - 8</t>
  </si>
  <si>
    <t>6*x**2 - 6*x - 10</t>
  </si>
  <si>
    <t>x**3 - 5*x**2 + 9*x</t>
  </si>
  <si>
    <t>9*x**4 - 8*x**2</t>
  </si>
  <si>
    <t>9*x + 7</t>
  </si>
  <si>
    <t>6*x**3 + 4*x + 8</t>
  </si>
  <si>
    <t>10*x**5 - 9*x**3 - x</t>
  </si>
  <si>
    <t>-4*x**2 + 6*x</t>
  </si>
  <si>
    <t>-8*x**4 + x**3 - 2*x</t>
  </si>
  <si>
    <t>5*x - 5</t>
  </si>
  <si>
    <t>-6*x**3 - 8*x**2 - 7</t>
  </si>
  <si>
    <t>10 - 5*x**2</t>
  </si>
  <si>
    <t>9*x**4 - 4</t>
  </si>
  <si>
    <t>-6*x**3 - 5*x**2</t>
  </si>
  <si>
    <t>-x**3 + 9*x**2</t>
  </si>
  <si>
    <t>-3*x**5 - 3*x**4 - 4*x**2 - 2</t>
  </si>
  <si>
    <t>-7*x**4 - 5*x + 2</t>
  </si>
  <si>
    <t>10*x**2 + 6*x</t>
  </si>
  <si>
    <t>-6*x**3 + x**2 + 1</t>
  </si>
  <si>
    <t>5*x**2 - 5*x - 3</t>
  </si>
  <si>
    <t>9 - 2*x</t>
  </si>
  <si>
    <t>2*x**2 - 10*x - 1</t>
  </si>
  <si>
    <t>6*x</t>
  </si>
  <si>
    <t>10 - x**2</t>
  </si>
  <si>
    <t>-x**3 + 7*x**2 - 4</t>
  </si>
  <si>
    <t>2*x**2 - 3</t>
  </si>
  <si>
    <t>2*x**5 - 4*x**4 + 5*x</t>
  </si>
  <si>
    <t>8*x**5 + 4*x**4 + 4*x**3 - 3*x + 6</t>
  </si>
  <si>
    <t>-10*x**4 + 5*x</t>
  </si>
  <si>
    <t>2*x + 3</t>
  </si>
  <si>
    <t>-3*x**3 + 4*x**2</t>
  </si>
  <si>
    <t>8*x</t>
  </si>
  <si>
    <t>4*x**5 - 8*x**4 - 6*x**3 - 9*x - 9</t>
  </si>
  <si>
    <t>-7*x</t>
  </si>
  <si>
    <t>4*x**5 + 5*x**4 - 2*x**3 + 3</t>
  </si>
  <si>
    <t>5*x**5 - 4*x**2 + 9*x</t>
  </si>
  <si>
    <t>7*x**3 - 10*x**2 - 8*x</t>
  </si>
  <si>
    <t>-4*x - 10</t>
  </si>
  <si>
    <t>5*x**2 + 10*x</t>
  </si>
  <si>
    <t>-4*x**3 + x**2</t>
  </si>
  <si>
    <t>-5*x**3 + 4*x - 4</t>
  </si>
  <si>
    <t>x - 6</t>
  </si>
  <si>
    <t>-7*x**3 - 8*x**2</t>
  </si>
  <si>
    <t>-3*x**5 - 6*x**3</t>
  </si>
  <si>
    <t>-6*x**2 - 5*x</t>
  </si>
  <si>
    <t>7*x**4 + 6*x**3 + 8*x + 3</t>
  </si>
  <si>
    <t>2*x**4 - 6*x**2 + 4*x + 2</t>
  </si>
  <si>
    <t>-4*x**2 - 5*x</t>
  </si>
  <si>
    <t>10*x - 10</t>
  </si>
  <si>
    <t>6 - 8*x</t>
  </si>
  <si>
    <t>-10*x - 10</t>
  </si>
  <si>
    <t>3*x**4 + 7*x**3 - 5*x**2 + 10</t>
  </si>
  <si>
    <t>4*x + 1</t>
  </si>
  <si>
    <t>-6*x**5 - 8*x**4 + 8</t>
  </si>
  <si>
    <t>-2*x**3 - 6*x - 4</t>
  </si>
  <si>
    <t>5*x**3 + 10*x**2</t>
  </si>
  <si>
    <t>-9*x**2 + 8*x</t>
  </si>
  <si>
    <t>-3*x**3 + 6*x**2</t>
  </si>
  <si>
    <t>2*x**5 - 5*x**4</t>
  </si>
  <si>
    <t>10*x**4 + 5*x</t>
  </si>
  <si>
    <t>9*x**3 - 5*x</t>
  </si>
  <si>
    <t>-6*x**2 - 6*x</t>
  </si>
  <si>
    <t>10*x**2 - 1</t>
  </si>
  <si>
    <t>-10*x**5 + 2*x**4 - x**2 + 8*x</t>
  </si>
  <si>
    <t>-9*x**5 + 2*x**4 + 4*x**2 - 3*x + 5</t>
  </si>
  <si>
    <t>2*x**2 - 3*x</t>
  </si>
  <si>
    <t>6*x**3 - 3*x**2 + 10*x</t>
  </si>
  <si>
    <t>9*x**3 - 10*x</t>
  </si>
  <si>
    <t>-7*x**3 + 7*x**2 + 8*x + 2</t>
  </si>
  <si>
    <t>x**2 - 6</t>
  </si>
  <si>
    <t>BIS</t>
  </si>
  <si>
    <t>NEW</t>
  </si>
  <si>
    <t>SEC</t>
  </si>
  <si>
    <t>Echt</t>
  </si>
  <si>
    <t xml:space="preserve"> Bis(it)</t>
  </si>
  <si>
    <t xml:space="preserve"> New(it)</t>
  </si>
  <si>
    <t xml:space="preserve"> Sec(it)</t>
  </si>
  <si>
    <t>0 vervangen door onderstaand getal voor log schaal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</si>
</sst>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11" fontId="0" fillId="0" borderId="0" xfId="0" applyNumberFormat="1" applyAlignment="1">
      <alignment horizontal="left"/>
    </xf>
    <xf numFmtId="11" fontId="0" fillId="2" borderId="0" xfId="0" applyNumberFormat="1" applyFill="1" applyAlignment="1">
      <alignment horizontal="left" wrapText="1"/>
    </xf>
    <xf numFmtId="0" fontId="0" fillId="0" borderId="0" xfId="0" applyNumberFormat="1" applyAlignment="1">
      <alignment horizontal="left" wrapText="1"/>
    </xf>
    <xf numFmtId="11" fontId="0" fillId="2" borderId="0" xfId="0" applyNumberFormat="1" applyFill="1" applyAlignment="1">
      <alignment horizontal="left"/>
    </xf>
    <xf numFmtId="0" fontId="0" fillId="2" borderId="0" xfId="0" applyNumberFormat="1" applyFill="1" applyAlignment="1">
      <alignment horizontal="left"/>
    </xf>
    <xf numFmtId="0" fontId="0" fillId="0" borderId="0" xfId="0" applyNumberFormat="1" applyAlignment="1">
      <alignment horizontal="left"/>
    </xf>
    <xf numFmtId="0" fontId="0" fillId="2" borderId="0" xfId="0" applyNumberFormat="1" applyFill="1" applyAlignment="1">
      <alignment horizontal="left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Nauwkeurigheid Methodes geen eerste graad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040318316233965E-2"/>
          <c:y val="9.0667349593703067E-2"/>
          <c:w val="0.90002965363968823"/>
          <c:h val="0.52070338556246265"/>
        </c:manualLayout>
      </c:layout>
      <c:lineChart>
        <c:grouping val="standard"/>
        <c:varyColors val="0"/>
        <c:ser>
          <c:idx val="0"/>
          <c:order val="0"/>
          <c:tx>
            <c:strRef>
              <c:f>'ZonderEerste graad'!$S$1</c:f>
              <c:strCache>
                <c:ptCount val="1"/>
                <c:pt idx="0">
                  <c:v>BIS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'ZonderEerste graad'!$A$2:$A$63</c:f>
              <c:strCache>
                <c:ptCount val="62"/>
                <c:pt idx="0">
                  <c:v>-5*x**2 - 3*x</c:v>
                </c:pt>
                <c:pt idx="1">
                  <c:v>9 - 5*x**2</c:v>
                </c:pt>
                <c:pt idx="2">
                  <c:v>-10*x**4 - 8*x**3 - 3*x</c:v>
                </c:pt>
                <c:pt idx="3">
                  <c:v>4*x**4 + 4*x - 8</c:v>
                </c:pt>
                <c:pt idx="4">
                  <c:v>6*x**2 - 6*x - 10</c:v>
                </c:pt>
                <c:pt idx="5">
                  <c:v>x**3 - 5*x**2 + 9*x</c:v>
                </c:pt>
                <c:pt idx="6">
                  <c:v>9*x**4 - 8*x**2</c:v>
                </c:pt>
                <c:pt idx="7">
                  <c:v>6*x**3 + 4*x + 8</c:v>
                </c:pt>
                <c:pt idx="8">
                  <c:v>10*x**5 - 9*x**3 - x</c:v>
                </c:pt>
                <c:pt idx="9">
                  <c:v>-4*x**2 + 6*x</c:v>
                </c:pt>
                <c:pt idx="10">
                  <c:v>-8*x**4 + x**3 - 2*x</c:v>
                </c:pt>
                <c:pt idx="11">
                  <c:v>-6*x**3 - 8*x**2 - 7</c:v>
                </c:pt>
                <c:pt idx="12">
                  <c:v>10 - 5*x**2</c:v>
                </c:pt>
                <c:pt idx="13">
                  <c:v>9*x**4 - 4</c:v>
                </c:pt>
                <c:pt idx="14">
                  <c:v>-6*x**3 - 5*x**2</c:v>
                </c:pt>
                <c:pt idx="15">
                  <c:v>-x**3 + 9*x**2</c:v>
                </c:pt>
                <c:pt idx="16">
                  <c:v>-3*x**5 - 3*x**4 - 4*x**2 - 2</c:v>
                </c:pt>
                <c:pt idx="17">
                  <c:v>-7*x**4 - 5*x + 2</c:v>
                </c:pt>
                <c:pt idx="18">
                  <c:v>10*x**2 + 6*x</c:v>
                </c:pt>
                <c:pt idx="19">
                  <c:v>-6*x**3 + x**2 + 1</c:v>
                </c:pt>
                <c:pt idx="20">
                  <c:v>5*x**2 - 5*x - 3</c:v>
                </c:pt>
                <c:pt idx="21">
                  <c:v>2*x**2 - 10*x - 1</c:v>
                </c:pt>
                <c:pt idx="22">
                  <c:v>10 - x**2</c:v>
                </c:pt>
                <c:pt idx="23">
                  <c:v>-x**3 + 7*x**2 - 4</c:v>
                </c:pt>
                <c:pt idx="24">
                  <c:v>2*x**2 - 3</c:v>
                </c:pt>
                <c:pt idx="25">
                  <c:v>2*x**5 - 4*x**4 + 5*x</c:v>
                </c:pt>
                <c:pt idx="26">
                  <c:v>8*x**5 + 4*x**4 + 4*x**3 - 3*x + 6</c:v>
                </c:pt>
                <c:pt idx="27">
                  <c:v>-10*x**4 + 5*x</c:v>
                </c:pt>
                <c:pt idx="28">
                  <c:v>-3*x**3 + 4*x**2</c:v>
                </c:pt>
                <c:pt idx="29">
                  <c:v>4*x**5 - 8*x**4 - 6*x**3 - 9*x - 9</c:v>
                </c:pt>
                <c:pt idx="30">
                  <c:v>4*x**5 + 5*x**4 - 2*x**3 + 3</c:v>
                </c:pt>
                <c:pt idx="31">
                  <c:v>5*x**5 - 4*x**2 + 9*x</c:v>
                </c:pt>
                <c:pt idx="32">
                  <c:v>10*x**2 + 6*x</c:v>
                </c:pt>
                <c:pt idx="33">
                  <c:v>7*x**3 - 10*x**2 - 8*x</c:v>
                </c:pt>
                <c:pt idx="34">
                  <c:v>-4*x - 10</c:v>
                </c:pt>
                <c:pt idx="35">
                  <c:v>5*x**2 + 10*x</c:v>
                </c:pt>
                <c:pt idx="36">
                  <c:v>-4*x**3 + x**2</c:v>
                </c:pt>
                <c:pt idx="37">
                  <c:v>-5*x**3 + 4*x - 4</c:v>
                </c:pt>
                <c:pt idx="38">
                  <c:v>-7*x**3 - 8*x**2</c:v>
                </c:pt>
                <c:pt idx="39">
                  <c:v>-3*x**5 - 6*x**3</c:v>
                </c:pt>
                <c:pt idx="40">
                  <c:v>-6*x**2 - 5*x</c:v>
                </c:pt>
                <c:pt idx="41">
                  <c:v>7*x**4 + 6*x**3 + 8*x + 3</c:v>
                </c:pt>
                <c:pt idx="42">
                  <c:v>2*x**4 - 6*x**2 + 4*x + 2</c:v>
                </c:pt>
                <c:pt idx="43">
                  <c:v>-4*x**2 - 5*x</c:v>
                </c:pt>
                <c:pt idx="44">
                  <c:v>3*x**4 + 7*x**3 - 5*x**2 + 10</c:v>
                </c:pt>
                <c:pt idx="45">
                  <c:v>-6*x**5 - 8*x**4 + 8</c:v>
                </c:pt>
                <c:pt idx="46">
                  <c:v>-2*x**3 - 6*x - 4</c:v>
                </c:pt>
                <c:pt idx="47">
                  <c:v>5*x**3 + 10*x**2</c:v>
                </c:pt>
                <c:pt idx="48">
                  <c:v>-9*x**2 + 8*x</c:v>
                </c:pt>
                <c:pt idx="49">
                  <c:v>-3*x**3 + 6*x**2</c:v>
                </c:pt>
                <c:pt idx="50">
                  <c:v>2*x**5 - 5*x**4</c:v>
                </c:pt>
                <c:pt idx="51">
                  <c:v>10*x**4 + 5*x</c:v>
                </c:pt>
                <c:pt idx="52">
                  <c:v>9*x**3 - 5*x</c:v>
                </c:pt>
                <c:pt idx="53">
                  <c:v>-6*x**2 - 6*x</c:v>
                </c:pt>
                <c:pt idx="54">
                  <c:v>10*x**2 - 1</c:v>
                </c:pt>
                <c:pt idx="55">
                  <c:v>-10*x**5 + 2*x**4 - x**2 + 8*x</c:v>
                </c:pt>
                <c:pt idx="56">
                  <c:v>-9*x**5 + 2*x**4 + 4*x**2 - 3*x + 5</c:v>
                </c:pt>
                <c:pt idx="57">
                  <c:v>2*x**2 - 3*x</c:v>
                </c:pt>
                <c:pt idx="58">
                  <c:v>6*x**3 - 3*x**2 + 10*x</c:v>
                </c:pt>
                <c:pt idx="59">
                  <c:v>9*x**3 - 10*x</c:v>
                </c:pt>
                <c:pt idx="60">
                  <c:v>-7*x**3 + 7*x**2 + 8*x + 2</c:v>
                </c:pt>
                <c:pt idx="61">
                  <c:v>x**2 - 6</c:v>
                </c:pt>
              </c:strCache>
            </c:strRef>
          </c:cat>
          <c:val>
            <c:numRef>
              <c:f>'ZonderEerste graad'!$S$2:$S$63</c:f>
              <c:numCache>
                <c:formatCode>0.00E+00</c:formatCode>
                <c:ptCount val="62"/>
                <c:pt idx="0">
                  <c:v>1.1641021480102154E-11</c:v>
                </c:pt>
                <c:pt idx="1">
                  <c:v>2.1438406605511773E-12</c:v>
                </c:pt>
                <c:pt idx="2">
                  <c:v>4.3782999448183091E-10</c:v>
                </c:pt>
                <c:pt idx="3">
                  <c:v>2.8999025403209089E-12</c:v>
                </c:pt>
                <c:pt idx="4">
                  <c:v>3.1599167726881205E-12</c:v>
                </c:pt>
                <c:pt idx="5">
                  <c:v>2.9096725029376099E-12</c:v>
                </c:pt>
                <c:pt idx="6">
                  <c:v>2.214395333766106E-11</c:v>
                </c:pt>
                <c:pt idx="7">
                  <c:v>3.83009179927285E-11</c:v>
                </c:pt>
                <c:pt idx="8">
                  <c:v>2.8999025403209089E-12</c:v>
                </c:pt>
                <c:pt idx="9">
                  <c:v>1.16422427254292E-11</c:v>
                </c:pt>
                <c:pt idx="10">
                  <c:v>3.5784930574322971E-11</c:v>
                </c:pt>
                <c:pt idx="11">
                  <c:v>5.4001247917767614E-13</c:v>
                </c:pt>
                <c:pt idx="12">
                  <c:v>6.3151706086728154E-12</c:v>
                </c:pt>
                <c:pt idx="13">
                  <c:v>1.6521228829446954E-12</c:v>
                </c:pt>
                <c:pt idx="14">
                  <c:v>7.7603479198273817E-12</c:v>
                </c:pt>
                <c:pt idx="15">
                  <c:v>7.3008266099350294E-13</c:v>
                </c:pt>
                <c:pt idx="16">
                  <c:v>1.7633006166306586E-10</c:v>
                </c:pt>
                <c:pt idx="17">
                  <c:v>2.9100055698449978E-12</c:v>
                </c:pt>
                <c:pt idx="18">
                  <c:v>1.1641021480102154E-11</c:v>
                </c:pt>
                <c:pt idx="19">
                  <c:v>1.0025091867760239E-11</c:v>
                </c:pt>
                <c:pt idx="20">
                  <c:v>2.7169988481290375E-11</c:v>
                </c:pt>
                <c:pt idx="21">
                  <c:v>8.4212081752355061E-12</c:v>
                </c:pt>
                <c:pt idx="22">
                  <c:v>1.6963008775405797E-10</c:v>
                </c:pt>
                <c:pt idx="23">
                  <c:v>5.2069459854919842E-14</c:v>
                </c:pt>
                <c:pt idx="24">
                  <c:v>3.8678993341534351E-10</c:v>
                </c:pt>
                <c:pt idx="25">
                  <c:v>1.16422427254292E-11</c:v>
                </c:pt>
                <c:pt idx="26">
                  <c:v>1.0043987863639359E-10</c:v>
                </c:pt>
                <c:pt idx="27">
                  <c:v>1.16422427254292E-11</c:v>
                </c:pt>
                <c:pt idx="28">
                  <c:v>1.9400037132299985E-12</c:v>
                </c:pt>
                <c:pt idx="29">
                  <c:v>5.702105454474804E-13</c:v>
                </c:pt>
                <c:pt idx="30">
                  <c:v>3.6745007037097821E-10</c:v>
                </c:pt>
                <c:pt idx="31">
                  <c:v>2.9096725029376103E-12</c:v>
                </c:pt>
                <c:pt idx="32">
                  <c:v>1.1641021480102154E-11</c:v>
                </c:pt>
                <c:pt idx="33">
                  <c:v>3.3265612486843565E-12</c:v>
                </c:pt>
                <c:pt idx="34">
                  <c:v>1.1640022279379991E-11</c:v>
                </c:pt>
                <c:pt idx="35">
                  <c:v>2.9098945475425353E-12</c:v>
                </c:pt>
                <c:pt idx="36">
                  <c:v>1.2137339999999999E-9</c:v>
                </c:pt>
                <c:pt idx="37">
                  <c:v>3.9368996951338886E-10</c:v>
                </c:pt>
                <c:pt idx="38">
                  <c:v>4.992894986344254E-12</c:v>
                </c:pt>
                <c:pt idx="39">
                  <c:v>1.9531250000071E-4</c:v>
                </c:pt>
                <c:pt idx="40">
                  <c:v>7.7603479198273817E-12</c:v>
                </c:pt>
                <c:pt idx="41">
                  <c:v>2.4764990058656622E-10</c:v>
                </c:pt>
                <c:pt idx="42">
                  <c:v>3.3693003942403266E-10</c:v>
                </c:pt>
                <c:pt idx="43">
                  <c:v>1.1640022279379991E-11</c:v>
                </c:pt>
                <c:pt idx="44">
                  <c:v>4.5608006260522416E-10</c:v>
                </c:pt>
                <c:pt idx="45">
                  <c:v>2.1123103266518228E-11</c:v>
                </c:pt>
                <c:pt idx="46">
                  <c:v>2.5180080243103475E-11</c:v>
                </c:pt>
                <c:pt idx="47">
                  <c:v>2.9096725029376103E-12</c:v>
                </c:pt>
                <c:pt idx="48">
                  <c:v>1.16422427254292E-11</c:v>
                </c:pt>
                <c:pt idx="49">
                  <c:v>2.9096725029376103E-12</c:v>
                </c:pt>
                <c:pt idx="50">
                  <c:v>7.2830630415410269E-13</c:v>
                </c:pt>
                <c:pt idx="51">
                  <c:v>1.4667933534440181E-11</c:v>
                </c:pt>
                <c:pt idx="52">
                  <c:v>2.3000490401159368E-12</c:v>
                </c:pt>
                <c:pt idx="53">
                  <c:v>1.1640022279379991E-11</c:v>
                </c:pt>
                <c:pt idx="54">
                  <c:v>2.7440993921601375E-11</c:v>
                </c:pt>
                <c:pt idx="55">
                  <c:v>2.2140067557074872E-11</c:v>
                </c:pt>
                <c:pt idx="56">
                  <c:v>9.1444629646275644E-12</c:v>
                </c:pt>
                <c:pt idx="57">
                  <c:v>1.16422427254292E-11</c:v>
                </c:pt>
                <c:pt idx="58">
                  <c:v>2.9096725029376103E-12</c:v>
                </c:pt>
                <c:pt idx="59">
                  <c:v>3.9035996657332817E-10</c:v>
                </c:pt>
                <c:pt idx="60">
                  <c:v>3.6426950345003206E-10</c:v>
                </c:pt>
                <c:pt idx="61">
                  <c:v>7.8621553711855086E-12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171-4BF4-9FD2-A52E25EA75B6}"/>
            </c:ext>
          </c:extLst>
        </c:ser>
        <c:ser>
          <c:idx val="1"/>
          <c:order val="1"/>
          <c:tx>
            <c:strRef>
              <c:f>'ZonderEerste graad'!$T$1</c:f>
              <c:strCache>
                <c:ptCount val="1"/>
                <c:pt idx="0">
                  <c:v>NEW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'ZonderEerste graad'!$A$2:$A$63</c:f>
              <c:strCache>
                <c:ptCount val="62"/>
                <c:pt idx="0">
                  <c:v>-5*x**2 - 3*x</c:v>
                </c:pt>
                <c:pt idx="1">
                  <c:v>9 - 5*x**2</c:v>
                </c:pt>
                <c:pt idx="2">
                  <c:v>-10*x**4 - 8*x**3 - 3*x</c:v>
                </c:pt>
                <c:pt idx="3">
                  <c:v>4*x**4 + 4*x - 8</c:v>
                </c:pt>
                <c:pt idx="4">
                  <c:v>6*x**2 - 6*x - 10</c:v>
                </c:pt>
                <c:pt idx="5">
                  <c:v>x**3 - 5*x**2 + 9*x</c:v>
                </c:pt>
                <c:pt idx="6">
                  <c:v>9*x**4 - 8*x**2</c:v>
                </c:pt>
                <c:pt idx="7">
                  <c:v>6*x**3 + 4*x + 8</c:v>
                </c:pt>
                <c:pt idx="8">
                  <c:v>10*x**5 - 9*x**3 - x</c:v>
                </c:pt>
                <c:pt idx="9">
                  <c:v>-4*x**2 + 6*x</c:v>
                </c:pt>
                <c:pt idx="10">
                  <c:v>-8*x**4 + x**3 - 2*x</c:v>
                </c:pt>
                <c:pt idx="11">
                  <c:v>-6*x**3 - 8*x**2 - 7</c:v>
                </c:pt>
                <c:pt idx="12">
                  <c:v>10 - 5*x**2</c:v>
                </c:pt>
                <c:pt idx="13">
                  <c:v>9*x**4 - 4</c:v>
                </c:pt>
                <c:pt idx="14">
                  <c:v>-6*x**3 - 5*x**2</c:v>
                </c:pt>
                <c:pt idx="15">
                  <c:v>-x**3 + 9*x**2</c:v>
                </c:pt>
                <c:pt idx="16">
                  <c:v>-3*x**5 - 3*x**4 - 4*x**2 - 2</c:v>
                </c:pt>
                <c:pt idx="17">
                  <c:v>-7*x**4 - 5*x + 2</c:v>
                </c:pt>
                <c:pt idx="18">
                  <c:v>10*x**2 + 6*x</c:v>
                </c:pt>
                <c:pt idx="19">
                  <c:v>-6*x**3 + x**2 + 1</c:v>
                </c:pt>
                <c:pt idx="20">
                  <c:v>5*x**2 - 5*x - 3</c:v>
                </c:pt>
                <c:pt idx="21">
                  <c:v>2*x**2 - 10*x - 1</c:v>
                </c:pt>
                <c:pt idx="22">
                  <c:v>10 - x**2</c:v>
                </c:pt>
                <c:pt idx="23">
                  <c:v>-x**3 + 7*x**2 - 4</c:v>
                </c:pt>
                <c:pt idx="24">
                  <c:v>2*x**2 - 3</c:v>
                </c:pt>
                <c:pt idx="25">
                  <c:v>2*x**5 - 4*x**4 + 5*x</c:v>
                </c:pt>
                <c:pt idx="26">
                  <c:v>8*x**5 + 4*x**4 + 4*x**3 - 3*x + 6</c:v>
                </c:pt>
                <c:pt idx="27">
                  <c:v>-10*x**4 + 5*x</c:v>
                </c:pt>
                <c:pt idx="28">
                  <c:v>-3*x**3 + 4*x**2</c:v>
                </c:pt>
                <c:pt idx="29">
                  <c:v>4*x**5 - 8*x**4 - 6*x**3 - 9*x - 9</c:v>
                </c:pt>
                <c:pt idx="30">
                  <c:v>4*x**5 + 5*x**4 - 2*x**3 + 3</c:v>
                </c:pt>
                <c:pt idx="31">
                  <c:v>5*x**5 - 4*x**2 + 9*x</c:v>
                </c:pt>
                <c:pt idx="32">
                  <c:v>10*x**2 + 6*x</c:v>
                </c:pt>
                <c:pt idx="33">
                  <c:v>7*x**3 - 10*x**2 - 8*x</c:v>
                </c:pt>
                <c:pt idx="34">
                  <c:v>-4*x - 10</c:v>
                </c:pt>
                <c:pt idx="35">
                  <c:v>5*x**2 + 10*x</c:v>
                </c:pt>
                <c:pt idx="36">
                  <c:v>-4*x**3 + x**2</c:v>
                </c:pt>
                <c:pt idx="37">
                  <c:v>-5*x**3 + 4*x - 4</c:v>
                </c:pt>
                <c:pt idx="38">
                  <c:v>-7*x**3 - 8*x**2</c:v>
                </c:pt>
                <c:pt idx="39">
                  <c:v>-3*x**5 - 6*x**3</c:v>
                </c:pt>
                <c:pt idx="40">
                  <c:v>-6*x**2 - 5*x</c:v>
                </c:pt>
                <c:pt idx="41">
                  <c:v>7*x**4 + 6*x**3 + 8*x + 3</c:v>
                </c:pt>
                <c:pt idx="42">
                  <c:v>2*x**4 - 6*x**2 + 4*x + 2</c:v>
                </c:pt>
                <c:pt idx="43">
                  <c:v>-4*x**2 - 5*x</c:v>
                </c:pt>
                <c:pt idx="44">
                  <c:v>3*x**4 + 7*x**3 - 5*x**2 + 10</c:v>
                </c:pt>
                <c:pt idx="45">
                  <c:v>-6*x**5 - 8*x**4 + 8</c:v>
                </c:pt>
                <c:pt idx="46">
                  <c:v>-2*x**3 - 6*x - 4</c:v>
                </c:pt>
                <c:pt idx="47">
                  <c:v>5*x**3 + 10*x**2</c:v>
                </c:pt>
                <c:pt idx="48">
                  <c:v>-9*x**2 + 8*x</c:v>
                </c:pt>
                <c:pt idx="49">
                  <c:v>-3*x**3 + 6*x**2</c:v>
                </c:pt>
                <c:pt idx="50">
                  <c:v>2*x**5 - 5*x**4</c:v>
                </c:pt>
                <c:pt idx="51">
                  <c:v>10*x**4 + 5*x</c:v>
                </c:pt>
                <c:pt idx="52">
                  <c:v>9*x**3 - 5*x</c:v>
                </c:pt>
                <c:pt idx="53">
                  <c:v>-6*x**2 - 6*x</c:v>
                </c:pt>
                <c:pt idx="54">
                  <c:v>10*x**2 - 1</c:v>
                </c:pt>
                <c:pt idx="55">
                  <c:v>-10*x**5 + 2*x**4 - x**2 + 8*x</c:v>
                </c:pt>
                <c:pt idx="56">
                  <c:v>-9*x**5 + 2*x**4 + 4*x**2 - 3*x + 5</c:v>
                </c:pt>
                <c:pt idx="57">
                  <c:v>2*x**2 - 3*x</c:v>
                </c:pt>
                <c:pt idx="58">
                  <c:v>6*x**3 - 3*x**2 + 10*x</c:v>
                </c:pt>
                <c:pt idx="59">
                  <c:v>9*x**3 - 10*x</c:v>
                </c:pt>
                <c:pt idx="60">
                  <c:v>-7*x**3 + 7*x**2 + 8*x + 2</c:v>
                </c:pt>
                <c:pt idx="61">
                  <c:v>x**2 - 6</c:v>
                </c:pt>
              </c:strCache>
            </c:strRef>
          </c:cat>
          <c:val>
            <c:numRef>
              <c:f>'ZonderEerste graad'!$T$2:$T$63</c:f>
              <c:numCache>
                <c:formatCode>0.00E+00</c:formatCode>
                <c:ptCount val="62"/>
                <c:pt idx="0">
                  <c:v>9.9999999999999991E-31</c:v>
                </c:pt>
                <c:pt idx="1">
                  <c:v>3.7747582837255322E-15</c:v>
                </c:pt>
                <c:pt idx="2">
                  <c:v>4.3371994884466858E-10</c:v>
                </c:pt>
                <c:pt idx="3">
                  <c:v>9.9999999999999991E-31</c:v>
                </c:pt>
                <c:pt idx="4">
                  <c:v>9.9999999999999991E-31</c:v>
                </c:pt>
                <c:pt idx="5">
                  <c:v>7.7245259839241404E-27</c:v>
                </c:pt>
                <c:pt idx="6">
                  <c:v>1.7936985230448954E-11</c:v>
                </c:pt>
                <c:pt idx="7">
                  <c:v>3.9582892519263169E-11</c:v>
                </c:pt>
                <c:pt idx="8">
                  <c:v>9.9999999999999991E-31</c:v>
                </c:pt>
                <c:pt idx="9">
                  <c:v>1.88417849490228E-25</c:v>
                </c:pt>
                <c:pt idx="10">
                  <c:v>2.5444979456779038E-11</c:v>
                </c:pt>
                <c:pt idx="11">
                  <c:v>1.780131597683976E-12</c:v>
                </c:pt>
                <c:pt idx="12">
                  <c:v>5.1070259132757201E-15</c:v>
                </c:pt>
                <c:pt idx="13">
                  <c:v>1.1102230246251565E-16</c:v>
                </c:pt>
                <c:pt idx="14">
                  <c:v>3.3306690738754696E-16</c:v>
                </c:pt>
                <c:pt idx="15">
                  <c:v>9.9999999999999991E-31</c:v>
                </c:pt>
                <c:pt idx="16">
                  <c:v>1.7881007785547354E-10</c:v>
                </c:pt>
                <c:pt idx="17">
                  <c:v>9.9999999999999991E-31</c:v>
                </c:pt>
                <c:pt idx="18">
                  <c:v>9.9999999999999991E-31</c:v>
                </c:pt>
                <c:pt idx="19">
                  <c:v>1.2069234500700077E-12</c:v>
                </c:pt>
                <c:pt idx="20">
                  <c:v>2.9287960945367786E-11</c:v>
                </c:pt>
                <c:pt idx="21">
                  <c:v>3.315903107647955E-12</c:v>
                </c:pt>
                <c:pt idx="22">
                  <c:v>1.6837020666571334E-10</c:v>
                </c:pt>
                <c:pt idx="23">
                  <c:v>7.0998762424778761E-13</c:v>
                </c:pt>
                <c:pt idx="24">
                  <c:v>3.9158010167739121E-10</c:v>
                </c:pt>
                <c:pt idx="25">
                  <c:v>9.9999999999999991E-31</c:v>
                </c:pt>
                <c:pt idx="26">
                  <c:v>1.0167000574767826E-10</c:v>
                </c:pt>
                <c:pt idx="27">
                  <c:v>9.9999999999999991E-31</c:v>
                </c:pt>
                <c:pt idx="28">
                  <c:v>1.3333346660687122</c:v>
                </c:pt>
                <c:pt idx="29">
                  <c:v>3.9523939676655573E-13</c:v>
                </c:pt>
                <c:pt idx="30">
                  <c:v>3.6814928883188713E-10</c:v>
                </c:pt>
                <c:pt idx="31">
                  <c:v>2.2088105346188331E-29</c:v>
                </c:pt>
                <c:pt idx="32">
                  <c:v>9.9999999999999991E-31</c:v>
                </c:pt>
                <c:pt idx="33">
                  <c:v>4.4408920985006262E-16</c:v>
                </c:pt>
                <c:pt idx="34">
                  <c:v>9.9999999999999991E-31</c:v>
                </c:pt>
                <c:pt idx="35">
                  <c:v>9.9999999999999991E-31</c:v>
                </c:pt>
                <c:pt idx="36">
                  <c:v>4.5234848814251297E-6</c:v>
                </c:pt>
                <c:pt idx="37">
                  <c:v>3.9666003814886608E-10</c:v>
                </c:pt>
                <c:pt idx="38">
                  <c:v>2.886579864025407E-15</c:v>
                </c:pt>
                <c:pt idx="39">
                  <c:v>1.3888874304544599E-4</c:v>
                </c:pt>
                <c:pt idx="40">
                  <c:v>3.3306690738754696E-16</c:v>
                </c:pt>
                <c:pt idx="41">
                  <c:v>2.5070989728703807E-10</c:v>
                </c:pt>
                <c:pt idx="42">
                  <c:v>3.393298975140624E-10</c:v>
                </c:pt>
                <c:pt idx="43">
                  <c:v>9.9920072216264089E-15</c:v>
                </c:pt>
                <c:pt idx="44">
                  <c:v>4.5588999242340833E-10</c:v>
                </c:pt>
                <c:pt idx="45">
                  <c:v>2.2826629475503069E-11</c:v>
                </c:pt>
                <c:pt idx="46">
                  <c:v>1.6678436409733877E-11</c:v>
                </c:pt>
                <c:pt idx="47">
                  <c:v>2.2204460492503131E-16</c:v>
                </c:pt>
                <c:pt idx="48">
                  <c:v>9.9999999999999991E-31</c:v>
                </c:pt>
                <c:pt idx="49">
                  <c:v>9.9999999999999991E-31</c:v>
                </c:pt>
                <c:pt idx="50">
                  <c:v>2.4987614207246835</c:v>
                </c:pt>
                <c:pt idx="51">
                  <c:v>1.590094722558888E-11</c:v>
                </c:pt>
                <c:pt idx="52">
                  <c:v>7.0943251273547503E-14</c:v>
                </c:pt>
                <c:pt idx="53">
                  <c:v>9.9999999999999991E-31</c:v>
                </c:pt>
                <c:pt idx="54">
                  <c:v>1.6836976257650349E-11</c:v>
                </c:pt>
                <c:pt idx="55">
                  <c:v>2.1887047729762799E-11</c:v>
                </c:pt>
                <c:pt idx="56">
                  <c:v>1.2751577571634698E-11</c:v>
                </c:pt>
                <c:pt idx="57">
                  <c:v>1.88417849490228E-25</c:v>
                </c:pt>
                <c:pt idx="58">
                  <c:v>9.4663308626521417E-30</c:v>
                </c:pt>
                <c:pt idx="59">
                  <c:v>3.8945002778234539E-10</c:v>
                </c:pt>
                <c:pt idx="60">
                  <c:v>3.6479819165435856E-10</c:v>
                </c:pt>
                <c:pt idx="61">
                  <c:v>7.9936057773011271E-15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171-4BF4-9FD2-A52E25EA75B6}"/>
            </c:ext>
          </c:extLst>
        </c:ser>
        <c:ser>
          <c:idx val="2"/>
          <c:order val="2"/>
          <c:tx>
            <c:strRef>
              <c:f>'ZonderEerste graad'!$U$1</c:f>
              <c:strCache>
                <c:ptCount val="1"/>
                <c:pt idx="0">
                  <c:v>SEC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'ZonderEerste graad'!$A$2:$A$63</c:f>
              <c:strCache>
                <c:ptCount val="62"/>
                <c:pt idx="0">
                  <c:v>-5*x**2 - 3*x</c:v>
                </c:pt>
                <c:pt idx="1">
                  <c:v>9 - 5*x**2</c:v>
                </c:pt>
                <c:pt idx="2">
                  <c:v>-10*x**4 - 8*x**3 - 3*x</c:v>
                </c:pt>
                <c:pt idx="3">
                  <c:v>4*x**4 + 4*x - 8</c:v>
                </c:pt>
                <c:pt idx="4">
                  <c:v>6*x**2 - 6*x - 10</c:v>
                </c:pt>
                <c:pt idx="5">
                  <c:v>x**3 - 5*x**2 + 9*x</c:v>
                </c:pt>
                <c:pt idx="6">
                  <c:v>9*x**4 - 8*x**2</c:v>
                </c:pt>
                <c:pt idx="7">
                  <c:v>6*x**3 + 4*x + 8</c:v>
                </c:pt>
                <c:pt idx="8">
                  <c:v>10*x**5 - 9*x**3 - x</c:v>
                </c:pt>
                <c:pt idx="9">
                  <c:v>-4*x**2 + 6*x</c:v>
                </c:pt>
                <c:pt idx="10">
                  <c:v>-8*x**4 + x**3 - 2*x</c:v>
                </c:pt>
                <c:pt idx="11">
                  <c:v>-6*x**3 - 8*x**2 - 7</c:v>
                </c:pt>
                <c:pt idx="12">
                  <c:v>10 - 5*x**2</c:v>
                </c:pt>
                <c:pt idx="13">
                  <c:v>9*x**4 - 4</c:v>
                </c:pt>
                <c:pt idx="14">
                  <c:v>-6*x**3 - 5*x**2</c:v>
                </c:pt>
                <c:pt idx="15">
                  <c:v>-x**3 + 9*x**2</c:v>
                </c:pt>
                <c:pt idx="16">
                  <c:v>-3*x**5 - 3*x**4 - 4*x**2 - 2</c:v>
                </c:pt>
                <c:pt idx="17">
                  <c:v>-7*x**4 - 5*x + 2</c:v>
                </c:pt>
                <c:pt idx="18">
                  <c:v>10*x**2 + 6*x</c:v>
                </c:pt>
                <c:pt idx="19">
                  <c:v>-6*x**3 + x**2 + 1</c:v>
                </c:pt>
                <c:pt idx="20">
                  <c:v>5*x**2 - 5*x - 3</c:v>
                </c:pt>
                <c:pt idx="21">
                  <c:v>2*x**2 - 10*x - 1</c:v>
                </c:pt>
                <c:pt idx="22">
                  <c:v>10 - x**2</c:v>
                </c:pt>
                <c:pt idx="23">
                  <c:v>-x**3 + 7*x**2 - 4</c:v>
                </c:pt>
                <c:pt idx="24">
                  <c:v>2*x**2 - 3</c:v>
                </c:pt>
                <c:pt idx="25">
                  <c:v>2*x**5 - 4*x**4 + 5*x</c:v>
                </c:pt>
                <c:pt idx="26">
                  <c:v>8*x**5 + 4*x**4 + 4*x**3 - 3*x + 6</c:v>
                </c:pt>
                <c:pt idx="27">
                  <c:v>-10*x**4 + 5*x</c:v>
                </c:pt>
                <c:pt idx="28">
                  <c:v>-3*x**3 + 4*x**2</c:v>
                </c:pt>
                <c:pt idx="29">
                  <c:v>4*x**5 - 8*x**4 - 6*x**3 - 9*x - 9</c:v>
                </c:pt>
                <c:pt idx="30">
                  <c:v>4*x**5 + 5*x**4 - 2*x**3 + 3</c:v>
                </c:pt>
                <c:pt idx="31">
                  <c:v>5*x**5 - 4*x**2 + 9*x</c:v>
                </c:pt>
                <c:pt idx="32">
                  <c:v>10*x**2 + 6*x</c:v>
                </c:pt>
                <c:pt idx="33">
                  <c:v>7*x**3 - 10*x**2 - 8*x</c:v>
                </c:pt>
                <c:pt idx="34">
                  <c:v>-4*x - 10</c:v>
                </c:pt>
                <c:pt idx="35">
                  <c:v>5*x**2 + 10*x</c:v>
                </c:pt>
                <c:pt idx="36">
                  <c:v>-4*x**3 + x**2</c:v>
                </c:pt>
                <c:pt idx="37">
                  <c:v>-5*x**3 + 4*x - 4</c:v>
                </c:pt>
                <c:pt idx="38">
                  <c:v>-7*x**3 - 8*x**2</c:v>
                </c:pt>
                <c:pt idx="39">
                  <c:v>-3*x**5 - 6*x**3</c:v>
                </c:pt>
                <c:pt idx="40">
                  <c:v>-6*x**2 - 5*x</c:v>
                </c:pt>
                <c:pt idx="41">
                  <c:v>7*x**4 + 6*x**3 + 8*x + 3</c:v>
                </c:pt>
                <c:pt idx="42">
                  <c:v>2*x**4 - 6*x**2 + 4*x + 2</c:v>
                </c:pt>
                <c:pt idx="43">
                  <c:v>-4*x**2 - 5*x</c:v>
                </c:pt>
                <c:pt idx="44">
                  <c:v>3*x**4 + 7*x**3 - 5*x**2 + 10</c:v>
                </c:pt>
                <c:pt idx="45">
                  <c:v>-6*x**5 - 8*x**4 + 8</c:v>
                </c:pt>
                <c:pt idx="46">
                  <c:v>-2*x**3 - 6*x - 4</c:v>
                </c:pt>
                <c:pt idx="47">
                  <c:v>5*x**3 + 10*x**2</c:v>
                </c:pt>
                <c:pt idx="48">
                  <c:v>-9*x**2 + 8*x</c:v>
                </c:pt>
                <c:pt idx="49">
                  <c:v>-3*x**3 + 6*x**2</c:v>
                </c:pt>
                <c:pt idx="50">
                  <c:v>2*x**5 - 5*x**4</c:v>
                </c:pt>
                <c:pt idx="51">
                  <c:v>10*x**4 + 5*x</c:v>
                </c:pt>
                <c:pt idx="52">
                  <c:v>9*x**3 - 5*x</c:v>
                </c:pt>
                <c:pt idx="53">
                  <c:v>-6*x**2 - 6*x</c:v>
                </c:pt>
                <c:pt idx="54">
                  <c:v>10*x**2 - 1</c:v>
                </c:pt>
                <c:pt idx="55">
                  <c:v>-10*x**5 + 2*x**4 - x**2 + 8*x</c:v>
                </c:pt>
                <c:pt idx="56">
                  <c:v>-9*x**5 + 2*x**4 + 4*x**2 - 3*x + 5</c:v>
                </c:pt>
                <c:pt idx="57">
                  <c:v>2*x**2 - 3*x</c:v>
                </c:pt>
                <c:pt idx="58">
                  <c:v>6*x**3 - 3*x**2 + 10*x</c:v>
                </c:pt>
                <c:pt idx="59">
                  <c:v>9*x**3 - 10*x</c:v>
                </c:pt>
                <c:pt idx="60">
                  <c:v>-7*x**3 + 7*x**2 + 8*x + 2</c:v>
                </c:pt>
                <c:pt idx="61">
                  <c:v>x**2 - 6</c:v>
                </c:pt>
              </c:strCache>
            </c:strRef>
          </c:cat>
          <c:val>
            <c:numRef>
              <c:f>'ZonderEerste graad'!$U$2:$U$63</c:f>
              <c:numCache>
                <c:formatCode>0.00E+00</c:formatCode>
                <c:ptCount val="62"/>
                <c:pt idx="0">
                  <c:v>9.9920072216264089E-16</c:v>
                </c:pt>
                <c:pt idx="1">
                  <c:v>3.7747582837255322E-15</c:v>
                </c:pt>
                <c:pt idx="2">
                  <c:v>1.0646645059999991</c:v>
                </c:pt>
                <c:pt idx="3">
                  <c:v>9.9920072216264089E-16</c:v>
                </c:pt>
                <c:pt idx="4">
                  <c:v>9.9999999999999991E-31</c:v>
                </c:pt>
                <c:pt idx="5">
                  <c:v>2.0641875287231999E-17</c:v>
                </c:pt>
                <c:pt idx="6">
                  <c:v>1.8113954780574204E-11</c:v>
                </c:pt>
                <c:pt idx="7">
                  <c:v>3.9581893318541006E-11</c:v>
                </c:pt>
                <c:pt idx="8">
                  <c:v>0.24538617266023</c:v>
                </c:pt>
                <c:pt idx="9">
                  <c:v>6.9549516834707299E-12</c:v>
                </c:pt>
                <c:pt idx="10">
                  <c:v>0.59092873359999998</c:v>
                </c:pt>
                <c:pt idx="11">
                  <c:v>9.9999999999999991E-31</c:v>
                </c:pt>
                <c:pt idx="12">
                  <c:v>1.4876988529977098E-14</c:v>
                </c:pt>
                <c:pt idx="13">
                  <c:v>1.1102230246251565E-16</c:v>
                </c:pt>
                <c:pt idx="14">
                  <c:v>0.83332990555572473</c:v>
                </c:pt>
                <c:pt idx="15">
                  <c:v>1.0800249583553523E-12</c:v>
                </c:pt>
                <c:pt idx="16">
                  <c:v>1.789099979276898E-10</c:v>
                </c:pt>
                <c:pt idx="17">
                  <c:v>1.372922798618605</c:v>
                </c:pt>
                <c:pt idx="18">
                  <c:v>9.9920072216264089E-16</c:v>
                </c:pt>
                <c:pt idx="19">
                  <c:v>1.2074785615823203E-12</c:v>
                </c:pt>
                <c:pt idx="20">
                  <c:v>3.3364977447547517E-11</c:v>
                </c:pt>
                <c:pt idx="21">
                  <c:v>3.7633091087840853E-12</c:v>
                </c:pt>
                <c:pt idx="22">
                  <c:v>1.6839019068015659E-10</c:v>
                </c:pt>
                <c:pt idx="23">
                  <c:v>6.5503158452884236E-13</c:v>
                </c:pt>
                <c:pt idx="24">
                  <c:v>3.9158010167739121E-10</c:v>
                </c:pt>
                <c:pt idx="25">
                  <c:v>1.0009007511690901E-12</c:v>
                </c:pt>
                <c:pt idx="26">
                  <c:v>1.0167000574767826E-10</c:v>
                </c:pt>
                <c:pt idx="27">
                  <c:v>1.79824471285838E-13</c:v>
                </c:pt>
                <c:pt idx="28">
                  <c:v>1.7985612998927536E-13</c:v>
                </c:pt>
                <c:pt idx="29">
                  <c:v>3.9568348597640579E-13</c:v>
                </c:pt>
                <c:pt idx="30">
                  <c:v>3.6719560725373412E-10</c:v>
                </c:pt>
                <c:pt idx="31">
                  <c:v>9.0503691644932757E-16</c:v>
                </c:pt>
                <c:pt idx="32">
                  <c:v>9.9920072216264089E-16</c:v>
                </c:pt>
                <c:pt idx="33">
                  <c:v>4.4408920985006262E-16</c:v>
                </c:pt>
                <c:pt idx="34">
                  <c:v>9.9999999999999991E-31</c:v>
                </c:pt>
                <c:pt idx="35">
                  <c:v>9.9999999999999991E-31</c:v>
                </c:pt>
                <c:pt idx="36">
                  <c:v>8.1618428642369405E-6</c:v>
                </c:pt>
                <c:pt idx="37">
                  <c:v>3.9666003814886608E-10</c:v>
                </c:pt>
                <c:pt idx="38">
                  <c:v>1.1428541780658596</c:v>
                </c:pt>
                <c:pt idx="39">
                  <c:v>2.3693459403903501E-4</c:v>
                </c:pt>
                <c:pt idx="40">
                  <c:v>3.3306690738754696E-16</c:v>
                </c:pt>
                <c:pt idx="41">
                  <c:v>2.5070989728703807E-10</c:v>
                </c:pt>
                <c:pt idx="42">
                  <c:v>3.393298975140624E-10</c:v>
                </c:pt>
                <c:pt idx="43">
                  <c:v>2.5002222514558525E-13</c:v>
                </c:pt>
                <c:pt idx="44">
                  <c:v>4.5588999242340833E-10</c:v>
                </c:pt>
                <c:pt idx="45">
                  <c:v>2.4657831332319802E-11</c:v>
                </c:pt>
                <c:pt idx="46">
                  <c:v>1.6678658454338802E-11</c:v>
                </c:pt>
                <c:pt idx="47">
                  <c:v>2.886579864025407E-14</c:v>
                </c:pt>
                <c:pt idx="48">
                  <c:v>0.88888888887906004</c:v>
                </c:pt>
                <c:pt idx="49">
                  <c:v>2.5091040356528538E-13</c:v>
                </c:pt>
                <c:pt idx="50">
                  <c:v>4.4408920985006262E-16</c:v>
                </c:pt>
                <c:pt idx="51">
                  <c:v>0.79370052601574048</c:v>
                </c:pt>
                <c:pt idx="52">
                  <c:v>4.4937638225799326E-3</c:v>
                </c:pt>
                <c:pt idx="53">
                  <c:v>9.9999999999999991E-31</c:v>
                </c:pt>
                <c:pt idx="54">
                  <c:v>1.6849965867038463E-11</c:v>
                </c:pt>
                <c:pt idx="55">
                  <c:v>0.92559042741067654</c:v>
                </c:pt>
                <c:pt idx="56">
                  <c:v>1.2751577571634698E-11</c:v>
                </c:pt>
                <c:pt idx="57">
                  <c:v>6.9549516834707299E-12</c:v>
                </c:pt>
                <c:pt idx="58">
                  <c:v>8.2905001426761792E-16</c:v>
                </c:pt>
                <c:pt idx="59">
                  <c:v>1.054092553</c:v>
                </c:pt>
                <c:pt idx="60">
                  <c:v>3.6479308462844529E-10</c:v>
                </c:pt>
                <c:pt idx="61">
                  <c:v>7.9936057773011271E-15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71-4BF4-9FD2-A52E25EA75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8600495"/>
        <c:axId val="1728606735"/>
      </c:lineChart>
      <c:catAx>
        <c:axId val="172860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06735"/>
        <c:crosses val="autoZero"/>
        <c:auto val="1"/>
        <c:lblAlgn val="ctr"/>
        <c:lblOffset val="100"/>
        <c:tickLblSkip val="1"/>
        <c:noMultiLvlLbl val="0"/>
      </c:catAx>
      <c:valAx>
        <c:axId val="17286067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00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Nauwkeurigheid Methoden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Resultaten!$S$1</c:f>
              <c:strCache>
                <c:ptCount val="1"/>
                <c:pt idx="0">
                  <c:v>BIS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Resultaten!$A$2:$A$78</c:f>
              <c:strCache>
                <c:ptCount val="77"/>
                <c:pt idx="0">
                  <c:v>-5*x**2 - 3*x</c:v>
                </c:pt>
                <c:pt idx="1">
                  <c:v>4*x</c:v>
                </c:pt>
                <c:pt idx="2">
                  <c:v>9 - 5*x**2</c:v>
                </c:pt>
                <c:pt idx="3">
                  <c:v>-10*x**4 - 8*x**3 - 3*x</c:v>
                </c:pt>
                <c:pt idx="4">
                  <c:v>4*x**4 + 4*x - 8</c:v>
                </c:pt>
                <c:pt idx="5">
                  <c:v>6*x**2 - 6*x - 10</c:v>
                </c:pt>
                <c:pt idx="6">
                  <c:v>x**3 - 5*x**2 + 9*x</c:v>
                </c:pt>
                <c:pt idx="7">
                  <c:v>9*x**4 - 8*x**2</c:v>
                </c:pt>
                <c:pt idx="8">
                  <c:v>9*x + 7</c:v>
                </c:pt>
                <c:pt idx="9">
                  <c:v>6*x**3 + 4*x + 8</c:v>
                </c:pt>
                <c:pt idx="10">
                  <c:v>10*x**5 - 9*x**3 - x</c:v>
                </c:pt>
                <c:pt idx="11">
                  <c:v>-4*x**2 + 6*x</c:v>
                </c:pt>
                <c:pt idx="12">
                  <c:v>-8*x**4 + x**3 - 2*x</c:v>
                </c:pt>
                <c:pt idx="13">
                  <c:v>5*x - 5</c:v>
                </c:pt>
                <c:pt idx="14">
                  <c:v>-6*x**3 - 8*x**2 - 7</c:v>
                </c:pt>
                <c:pt idx="15">
                  <c:v>10 - 5*x**2</c:v>
                </c:pt>
                <c:pt idx="16">
                  <c:v>9*x**4 - 4</c:v>
                </c:pt>
                <c:pt idx="17">
                  <c:v>-6*x**3 - 5*x**2</c:v>
                </c:pt>
                <c:pt idx="18">
                  <c:v>-x**3 + 9*x**2</c:v>
                </c:pt>
                <c:pt idx="19">
                  <c:v>-3*x**5 - 3*x**4 - 4*x**2 - 2</c:v>
                </c:pt>
                <c:pt idx="20">
                  <c:v>-7*x**4 - 5*x + 2</c:v>
                </c:pt>
                <c:pt idx="21">
                  <c:v>10*x**2 + 6*x</c:v>
                </c:pt>
                <c:pt idx="22">
                  <c:v>-6*x**3 + x**2 + 1</c:v>
                </c:pt>
                <c:pt idx="23">
                  <c:v>5*x**2 - 5*x - 3</c:v>
                </c:pt>
                <c:pt idx="24">
                  <c:v>9 - 2*x</c:v>
                </c:pt>
                <c:pt idx="25">
                  <c:v>2*x**2 - 10*x - 1</c:v>
                </c:pt>
                <c:pt idx="26">
                  <c:v>6*x</c:v>
                </c:pt>
                <c:pt idx="27">
                  <c:v>10 - x**2</c:v>
                </c:pt>
                <c:pt idx="28">
                  <c:v>-x**3 + 7*x**2 - 4</c:v>
                </c:pt>
                <c:pt idx="29">
                  <c:v>2*x**2 - 3</c:v>
                </c:pt>
                <c:pt idx="30">
                  <c:v>2*x**5 - 4*x**4 + 5*x</c:v>
                </c:pt>
                <c:pt idx="31">
                  <c:v>8*x**5 + 4*x**4 + 4*x**3 - 3*x + 6</c:v>
                </c:pt>
                <c:pt idx="32">
                  <c:v>-10*x**4 + 5*x</c:v>
                </c:pt>
                <c:pt idx="33">
                  <c:v>2*x + 3</c:v>
                </c:pt>
                <c:pt idx="34">
                  <c:v>-3*x**3 + 4*x**2</c:v>
                </c:pt>
                <c:pt idx="35">
                  <c:v>8*x</c:v>
                </c:pt>
                <c:pt idx="36">
                  <c:v>4*x**5 - 8*x**4 - 6*x**3 - 9*x - 9</c:v>
                </c:pt>
                <c:pt idx="37">
                  <c:v>9 - 2*x</c:v>
                </c:pt>
                <c:pt idx="38">
                  <c:v>-7*x</c:v>
                </c:pt>
                <c:pt idx="39">
                  <c:v>4*x**5 + 5*x**4 - 2*x**3 + 3</c:v>
                </c:pt>
                <c:pt idx="40">
                  <c:v>5*x**5 - 4*x**2 + 9*x</c:v>
                </c:pt>
                <c:pt idx="41">
                  <c:v>10*x**2 + 6*x</c:v>
                </c:pt>
                <c:pt idx="42">
                  <c:v>7*x**3 - 10*x**2 - 8*x</c:v>
                </c:pt>
                <c:pt idx="43">
                  <c:v>-4*x - 10</c:v>
                </c:pt>
                <c:pt idx="44">
                  <c:v>5*x**2 + 10*x</c:v>
                </c:pt>
                <c:pt idx="45">
                  <c:v>-4*x**3 + x**2</c:v>
                </c:pt>
                <c:pt idx="46">
                  <c:v>-5*x**3 + 4*x - 4</c:v>
                </c:pt>
                <c:pt idx="47">
                  <c:v>x - 6</c:v>
                </c:pt>
                <c:pt idx="48">
                  <c:v>-7*x**3 - 8*x**2</c:v>
                </c:pt>
                <c:pt idx="49">
                  <c:v>-3*x**5 - 6*x**3</c:v>
                </c:pt>
                <c:pt idx="50">
                  <c:v>-6*x**2 - 5*x</c:v>
                </c:pt>
                <c:pt idx="51">
                  <c:v>7*x**4 + 6*x**3 + 8*x + 3</c:v>
                </c:pt>
                <c:pt idx="52">
                  <c:v>2*x**4 - 6*x**2 + 4*x + 2</c:v>
                </c:pt>
                <c:pt idx="53">
                  <c:v>-4*x**2 - 5*x</c:v>
                </c:pt>
                <c:pt idx="54">
                  <c:v>10*x - 10</c:v>
                </c:pt>
                <c:pt idx="55">
                  <c:v>6 - 8*x</c:v>
                </c:pt>
                <c:pt idx="56">
                  <c:v>-10*x - 10</c:v>
                </c:pt>
                <c:pt idx="57">
                  <c:v>3*x**4 + 7*x**3 - 5*x**2 + 10</c:v>
                </c:pt>
                <c:pt idx="58">
                  <c:v>4*x + 1</c:v>
                </c:pt>
                <c:pt idx="59">
                  <c:v>-6*x**5 - 8*x**4 + 8</c:v>
                </c:pt>
                <c:pt idx="60">
                  <c:v>-2*x**3 - 6*x - 4</c:v>
                </c:pt>
                <c:pt idx="61">
                  <c:v>5*x**3 + 10*x**2</c:v>
                </c:pt>
                <c:pt idx="62">
                  <c:v>-9*x**2 + 8*x</c:v>
                </c:pt>
                <c:pt idx="63">
                  <c:v>-3*x**3 + 6*x**2</c:v>
                </c:pt>
                <c:pt idx="64">
                  <c:v>2*x**5 - 5*x**4</c:v>
                </c:pt>
                <c:pt idx="65">
                  <c:v>9 - 2*x</c:v>
                </c:pt>
                <c:pt idx="66">
                  <c:v>10*x**4 + 5*x</c:v>
                </c:pt>
                <c:pt idx="67">
                  <c:v>9*x**3 - 5*x</c:v>
                </c:pt>
                <c:pt idx="68">
                  <c:v>-6*x**2 - 6*x</c:v>
                </c:pt>
                <c:pt idx="69">
                  <c:v>10*x**2 - 1</c:v>
                </c:pt>
                <c:pt idx="70">
                  <c:v>-10*x**5 + 2*x**4 - x**2 + 8*x</c:v>
                </c:pt>
                <c:pt idx="71">
                  <c:v>-9*x**5 + 2*x**4 + 4*x**2 - 3*x + 5</c:v>
                </c:pt>
                <c:pt idx="72">
                  <c:v>2*x**2 - 3*x</c:v>
                </c:pt>
                <c:pt idx="73">
                  <c:v>6*x**3 - 3*x**2 + 10*x</c:v>
                </c:pt>
                <c:pt idx="74">
                  <c:v>9*x**3 - 10*x</c:v>
                </c:pt>
                <c:pt idx="75">
                  <c:v>-7*x**3 + 7*x**2 + 8*x + 2</c:v>
                </c:pt>
                <c:pt idx="76">
                  <c:v>x**2 - 6</c:v>
                </c:pt>
              </c:strCache>
            </c:strRef>
          </c:cat>
          <c:val>
            <c:numRef>
              <c:f>Resultaten!$S$2:$S$78</c:f>
              <c:numCache>
                <c:formatCode>0.00E+00</c:formatCode>
                <c:ptCount val="77"/>
                <c:pt idx="0">
                  <c:v>1.1641021480102154E-11</c:v>
                </c:pt>
                <c:pt idx="1">
                  <c:v>1.16422427254292E-11</c:v>
                </c:pt>
                <c:pt idx="2">
                  <c:v>2.1438406605511773E-12</c:v>
                </c:pt>
                <c:pt idx="3">
                  <c:v>4.3782999448183091E-10</c:v>
                </c:pt>
                <c:pt idx="4">
                  <c:v>2.8999025403209089E-12</c:v>
                </c:pt>
                <c:pt idx="5">
                  <c:v>3.1599167726881205E-12</c:v>
                </c:pt>
                <c:pt idx="6">
                  <c:v>2.9096725029376099E-12</c:v>
                </c:pt>
                <c:pt idx="7">
                  <c:v>2.214395333766106E-11</c:v>
                </c:pt>
                <c:pt idx="8">
                  <c:v>3.2318592246838307E-13</c:v>
                </c:pt>
                <c:pt idx="9">
                  <c:v>3.83009179927285E-11</c:v>
                </c:pt>
                <c:pt idx="10">
                  <c:v>2.8999025403209089E-12</c:v>
                </c:pt>
                <c:pt idx="11">
                  <c:v>1.16422427254292E-11</c:v>
                </c:pt>
                <c:pt idx="12">
                  <c:v>3.5784930574322971E-11</c:v>
                </c:pt>
                <c:pt idx="13">
                  <c:v>1.1643019881546479E-11</c:v>
                </c:pt>
                <c:pt idx="14">
                  <c:v>5.4001247917767614E-13</c:v>
                </c:pt>
                <c:pt idx="15">
                  <c:v>6.3151706086728154E-12</c:v>
                </c:pt>
                <c:pt idx="16">
                  <c:v>1.6521228829446954E-12</c:v>
                </c:pt>
                <c:pt idx="17">
                  <c:v>7.7603479198273817E-12</c:v>
                </c:pt>
                <c:pt idx="18">
                  <c:v>7.3008266099350294E-13</c:v>
                </c:pt>
                <c:pt idx="19">
                  <c:v>1.7633006166306586E-10</c:v>
                </c:pt>
                <c:pt idx="20">
                  <c:v>2.9100055698449978E-12</c:v>
                </c:pt>
                <c:pt idx="21">
                  <c:v>1.1641021480102154E-11</c:v>
                </c:pt>
                <c:pt idx="22">
                  <c:v>1.0025091867760239E-11</c:v>
                </c:pt>
                <c:pt idx="23">
                  <c:v>2.7169988481290375E-11</c:v>
                </c:pt>
                <c:pt idx="24">
                  <c:v>4.6560089117519965E-11</c:v>
                </c:pt>
                <c:pt idx="25">
                  <c:v>8.4212081752355061E-12</c:v>
                </c:pt>
                <c:pt idx="26">
                  <c:v>1.16422427254292E-11</c:v>
                </c:pt>
                <c:pt idx="27">
                  <c:v>1.6963008775405797E-10</c:v>
                </c:pt>
                <c:pt idx="28">
                  <c:v>5.2069459854919842E-14</c:v>
                </c:pt>
                <c:pt idx="29">
                  <c:v>3.8678993341534351E-10</c:v>
                </c:pt>
                <c:pt idx="30">
                  <c:v>1.16422427254292E-11</c:v>
                </c:pt>
                <c:pt idx="31">
                  <c:v>1.0043987863639359E-10</c:v>
                </c:pt>
                <c:pt idx="32">
                  <c:v>1.16422427254292E-11</c:v>
                </c:pt>
                <c:pt idx="33">
                  <c:v>4.6570081124741591E-11</c:v>
                </c:pt>
                <c:pt idx="34">
                  <c:v>1.9400037132299985E-12</c:v>
                </c:pt>
                <c:pt idx="35">
                  <c:v>1.16422427254292E-11</c:v>
                </c:pt>
                <c:pt idx="36">
                  <c:v>5.702105454474804E-13</c:v>
                </c:pt>
                <c:pt idx="37">
                  <c:v>4.6560089117519965E-11</c:v>
                </c:pt>
                <c:pt idx="38">
                  <c:v>1.16422427254292E-11</c:v>
                </c:pt>
                <c:pt idx="39">
                  <c:v>3.6745007037097821E-10</c:v>
                </c:pt>
                <c:pt idx="40">
                  <c:v>2.9096725029376103E-12</c:v>
                </c:pt>
                <c:pt idx="41">
                  <c:v>1.1641021480102154E-11</c:v>
                </c:pt>
                <c:pt idx="42">
                  <c:v>3.3265612486843565E-12</c:v>
                </c:pt>
                <c:pt idx="43">
                  <c:v>1.1640022279379991E-11</c:v>
                </c:pt>
                <c:pt idx="44">
                  <c:v>2.9098945475425353E-12</c:v>
                </c:pt>
                <c:pt idx="45">
                  <c:v>1.2137339999999999E-9</c:v>
                </c:pt>
                <c:pt idx="46">
                  <c:v>3.9368996951338886E-10</c:v>
                </c:pt>
                <c:pt idx="47">
                  <c:v>4.6560089117519965E-11</c:v>
                </c:pt>
                <c:pt idx="48">
                  <c:v>4.992894986344254E-12</c:v>
                </c:pt>
                <c:pt idx="49">
                  <c:v>1.9531250000071E-4</c:v>
                </c:pt>
                <c:pt idx="50">
                  <c:v>7.7603479198273817E-12</c:v>
                </c:pt>
                <c:pt idx="51">
                  <c:v>2.4764990058656622E-10</c:v>
                </c:pt>
                <c:pt idx="52">
                  <c:v>3.3693003942403266E-10</c:v>
                </c:pt>
                <c:pt idx="53">
                  <c:v>1.1640022279379991E-11</c:v>
                </c:pt>
                <c:pt idx="54">
                  <c:v>2.9096725029376103E-12</c:v>
                </c:pt>
                <c:pt idx="55">
                  <c:v>1.1642242725429242E-11</c:v>
                </c:pt>
                <c:pt idx="56">
                  <c:v>2.9096725029376103E-12</c:v>
                </c:pt>
                <c:pt idx="57">
                  <c:v>4.5608006260522416E-10</c:v>
                </c:pt>
                <c:pt idx="58">
                  <c:v>1.1642242725429242E-11</c:v>
                </c:pt>
                <c:pt idx="59">
                  <c:v>2.1123103266518228E-11</c:v>
                </c:pt>
                <c:pt idx="60">
                  <c:v>2.5180080243103475E-11</c:v>
                </c:pt>
                <c:pt idx="61">
                  <c:v>2.9096725029376103E-12</c:v>
                </c:pt>
                <c:pt idx="62">
                  <c:v>1.16422427254292E-11</c:v>
                </c:pt>
                <c:pt idx="63">
                  <c:v>2.9096725029376103E-12</c:v>
                </c:pt>
                <c:pt idx="64">
                  <c:v>7.2830630415410269E-13</c:v>
                </c:pt>
                <c:pt idx="65">
                  <c:v>4.6565418188038166E-11</c:v>
                </c:pt>
                <c:pt idx="66">
                  <c:v>1.4667933534440181E-11</c:v>
                </c:pt>
                <c:pt idx="67">
                  <c:v>2.3000490401159368E-12</c:v>
                </c:pt>
                <c:pt idx="68">
                  <c:v>1.1640022279379991E-11</c:v>
                </c:pt>
                <c:pt idx="69">
                  <c:v>2.7440993921601375E-11</c:v>
                </c:pt>
                <c:pt idx="70">
                  <c:v>2.2140067557074872E-11</c:v>
                </c:pt>
                <c:pt idx="71">
                  <c:v>9.1444629646275644E-12</c:v>
                </c:pt>
                <c:pt idx="72">
                  <c:v>1.16422427254292E-11</c:v>
                </c:pt>
                <c:pt idx="73">
                  <c:v>2.9096725029376103E-12</c:v>
                </c:pt>
                <c:pt idx="74">
                  <c:v>3.9035996657332817E-10</c:v>
                </c:pt>
                <c:pt idx="75">
                  <c:v>3.6426950345003206E-10</c:v>
                </c:pt>
                <c:pt idx="76">
                  <c:v>7.8621553711855086E-12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E7-47FE-A360-BBE8FD9512E3}"/>
            </c:ext>
          </c:extLst>
        </c:ser>
        <c:ser>
          <c:idx val="1"/>
          <c:order val="1"/>
          <c:tx>
            <c:strRef>
              <c:f>Resultaten!$T$1</c:f>
              <c:strCache>
                <c:ptCount val="1"/>
                <c:pt idx="0">
                  <c:v>NEW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Resultaten!$A$2:$A$78</c:f>
              <c:strCache>
                <c:ptCount val="77"/>
                <c:pt idx="0">
                  <c:v>-5*x**2 - 3*x</c:v>
                </c:pt>
                <c:pt idx="1">
                  <c:v>4*x</c:v>
                </c:pt>
                <c:pt idx="2">
                  <c:v>9 - 5*x**2</c:v>
                </c:pt>
                <c:pt idx="3">
                  <c:v>-10*x**4 - 8*x**3 - 3*x</c:v>
                </c:pt>
                <c:pt idx="4">
                  <c:v>4*x**4 + 4*x - 8</c:v>
                </c:pt>
                <c:pt idx="5">
                  <c:v>6*x**2 - 6*x - 10</c:v>
                </c:pt>
                <c:pt idx="6">
                  <c:v>x**3 - 5*x**2 + 9*x</c:v>
                </c:pt>
                <c:pt idx="7">
                  <c:v>9*x**4 - 8*x**2</c:v>
                </c:pt>
                <c:pt idx="8">
                  <c:v>9*x + 7</c:v>
                </c:pt>
                <c:pt idx="9">
                  <c:v>6*x**3 + 4*x + 8</c:v>
                </c:pt>
                <c:pt idx="10">
                  <c:v>10*x**5 - 9*x**3 - x</c:v>
                </c:pt>
                <c:pt idx="11">
                  <c:v>-4*x**2 + 6*x</c:v>
                </c:pt>
                <c:pt idx="12">
                  <c:v>-8*x**4 + x**3 - 2*x</c:v>
                </c:pt>
                <c:pt idx="13">
                  <c:v>5*x - 5</c:v>
                </c:pt>
                <c:pt idx="14">
                  <c:v>-6*x**3 - 8*x**2 - 7</c:v>
                </c:pt>
                <c:pt idx="15">
                  <c:v>10 - 5*x**2</c:v>
                </c:pt>
                <c:pt idx="16">
                  <c:v>9*x**4 - 4</c:v>
                </c:pt>
                <c:pt idx="17">
                  <c:v>-6*x**3 - 5*x**2</c:v>
                </c:pt>
                <c:pt idx="18">
                  <c:v>-x**3 + 9*x**2</c:v>
                </c:pt>
                <c:pt idx="19">
                  <c:v>-3*x**5 - 3*x**4 - 4*x**2 - 2</c:v>
                </c:pt>
                <c:pt idx="20">
                  <c:v>-7*x**4 - 5*x + 2</c:v>
                </c:pt>
                <c:pt idx="21">
                  <c:v>10*x**2 + 6*x</c:v>
                </c:pt>
                <c:pt idx="22">
                  <c:v>-6*x**3 + x**2 + 1</c:v>
                </c:pt>
                <c:pt idx="23">
                  <c:v>5*x**2 - 5*x - 3</c:v>
                </c:pt>
                <c:pt idx="24">
                  <c:v>9 - 2*x</c:v>
                </c:pt>
                <c:pt idx="25">
                  <c:v>2*x**2 - 10*x - 1</c:v>
                </c:pt>
                <c:pt idx="26">
                  <c:v>6*x</c:v>
                </c:pt>
                <c:pt idx="27">
                  <c:v>10 - x**2</c:v>
                </c:pt>
                <c:pt idx="28">
                  <c:v>-x**3 + 7*x**2 - 4</c:v>
                </c:pt>
                <c:pt idx="29">
                  <c:v>2*x**2 - 3</c:v>
                </c:pt>
                <c:pt idx="30">
                  <c:v>2*x**5 - 4*x**4 + 5*x</c:v>
                </c:pt>
                <c:pt idx="31">
                  <c:v>8*x**5 + 4*x**4 + 4*x**3 - 3*x + 6</c:v>
                </c:pt>
                <c:pt idx="32">
                  <c:v>-10*x**4 + 5*x</c:v>
                </c:pt>
                <c:pt idx="33">
                  <c:v>2*x + 3</c:v>
                </c:pt>
                <c:pt idx="34">
                  <c:v>-3*x**3 + 4*x**2</c:v>
                </c:pt>
                <c:pt idx="35">
                  <c:v>8*x</c:v>
                </c:pt>
                <c:pt idx="36">
                  <c:v>4*x**5 - 8*x**4 - 6*x**3 - 9*x - 9</c:v>
                </c:pt>
                <c:pt idx="37">
                  <c:v>9 - 2*x</c:v>
                </c:pt>
                <c:pt idx="38">
                  <c:v>-7*x</c:v>
                </c:pt>
                <c:pt idx="39">
                  <c:v>4*x**5 + 5*x**4 - 2*x**3 + 3</c:v>
                </c:pt>
                <c:pt idx="40">
                  <c:v>5*x**5 - 4*x**2 + 9*x</c:v>
                </c:pt>
                <c:pt idx="41">
                  <c:v>10*x**2 + 6*x</c:v>
                </c:pt>
                <c:pt idx="42">
                  <c:v>7*x**3 - 10*x**2 - 8*x</c:v>
                </c:pt>
                <c:pt idx="43">
                  <c:v>-4*x - 10</c:v>
                </c:pt>
                <c:pt idx="44">
                  <c:v>5*x**2 + 10*x</c:v>
                </c:pt>
                <c:pt idx="45">
                  <c:v>-4*x**3 + x**2</c:v>
                </c:pt>
                <c:pt idx="46">
                  <c:v>-5*x**3 + 4*x - 4</c:v>
                </c:pt>
                <c:pt idx="47">
                  <c:v>x - 6</c:v>
                </c:pt>
                <c:pt idx="48">
                  <c:v>-7*x**3 - 8*x**2</c:v>
                </c:pt>
                <c:pt idx="49">
                  <c:v>-3*x**5 - 6*x**3</c:v>
                </c:pt>
                <c:pt idx="50">
                  <c:v>-6*x**2 - 5*x</c:v>
                </c:pt>
                <c:pt idx="51">
                  <c:v>7*x**4 + 6*x**3 + 8*x + 3</c:v>
                </c:pt>
                <c:pt idx="52">
                  <c:v>2*x**4 - 6*x**2 + 4*x + 2</c:v>
                </c:pt>
                <c:pt idx="53">
                  <c:v>-4*x**2 - 5*x</c:v>
                </c:pt>
                <c:pt idx="54">
                  <c:v>10*x - 10</c:v>
                </c:pt>
                <c:pt idx="55">
                  <c:v>6 - 8*x</c:v>
                </c:pt>
                <c:pt idx="56">
                  <c:v>-10*x - 10</c:v>
                </c:pt>
                <c:pt idx="57">
                  <c:v>3*x**4 + 7*x**3 - 5*x**2 + 10</c:v>
                </c:pt>
                <c:pt idx="58">
                  <c:v>4*x + 1</c:v>
                </c:pt>
                <c:pt idx="59">
                  <c:v>-6*x**5 - 8*x**4 + 8</c:v>
                </c:pt>
                <c:pt idx="60">
                  <c:v>-2*x**3 - 6*x - 4</c:v>
                </c:pt>
                <c:pt idx="61">
                  <c:v>5*x**3 + 10*x**2</c:v>
                </c:pt>
                <c:pt idx="62">
                  <c:v>-9*x**2 + 8*x</c:v>
                </c:pt>
                <c:pt idx="63">
                  <c:v>-3*x**3 + 6*x**2</c:v>
                </c:pt>
                <c:pt idx="64">
                  <c:v>2*x**5 - 5*x**4</c:v>
                </c:pt>
                <c:pt idx="65">
                  <c:v>9 - 2*x</c:v>
                </c:pt>
                <c:pt idx="66">
                  <c:v>10*x**4 + 5*x</c:v>
                </c:pt>
                <c:pt idx="67">
                  <c:v>9*x**3 - 5*x</c:v>
                </c:pt>
                <c:pt idx="68">
                  <c:v>-6*x**2 - 6*x</c:v>
                </c:pt>
                <c:pt idx="69">
                  <c:v>10*x**2 - 1</c:v>
                </c:pt>
                <c:pt idx="70">
                  <c:v>-10*x**5 + 2*x**4 - x**2 + 8*x</c:v>
                </c:pt>
                <c:pt idx="71">
                  <c:v>-9*x**5 + 2*x**4 + 4*x**2 - 3*x + 5</c:v>
                </c:pt>
                <c:pt idx="72">
                  <c:v>2*x**2 - 3*x</c:v>
                </c:pt>
                <c:pt idx="73">
                  <c:v>6*x**3 - 3*x**2 + 10*x</c:v>
                </c:pt>
                <c:pt idx="74">
                  <c:v>9*x**3 - 10*x</c:v>
                </c:pt>
                <c:pt idx="75">
                  <c:v>-7*x**3 + 7*x**2 + 8*x + 2</c:v>
                </c:pt>
                <c:pt idx="76">
                  <c:v>x**2 - 6</c:v>
                </c:pt>
              </c:strCache>
            </c:strRef>
          </c:cat>
          <c:val>
            <c:numRef>
              <c:f>Resultaten!$T$2:$T$78</c:f>
              <c:numCache>
                <c:formatCode>0.00E+00</c:formatCode>
                <c:ptCount val="77"/>
                <c:pt idx="0">
                  <c:v>9.9999999999999991E-31</c:v>
                </c:pt>
                <c:pt idx="1">
                  <c:v>9.9999999999999991E-31</c:v>
                </c:pt>
                <c:pt idx="2">
                  <c:v>3.7747582837255322E-15</c:v>
                </c:pt>
                <c:pt idx="3">
                  <c:v>4.3371994884466858E-10</c:v>
                </c:pt>
                <c:pt idx="4">
                  <c:v>9.9999999999999991E-31</c:v>
                </c:pt>
                <c:pt idx="5">
                  <c:v>9.9999999999999991E-31</c:v>
                </c:pt>
                <c:pt idx="6">
                  <c:v>7.7245259839241404E-27</c:v>
                </c:pt>
                <c:pt idx="7">
                  <c:v>1.7936985230448954E-11</c:v>
                </c:pt>
                <c:pt idx="8">
                  <c:v>7.7715611723760958E-16</c:v>
                </c:pt>
                <c:pt idx="9">
                  <c:v>3.9582892519263169E-11</c:v>
                </c:pt>
                <c:pt idx="10">
                  <c:v>9.9999999999999991E-31</c:v>
                </c:pt>
                <c:pt idx="11">
                  <c:v>1.88417849490228E-25</c:v>
                </c:pt>
                <c:pt idx="12">
                  <c:v>2.5444979456779038E-11</c:v>
                </c:pt>
                <c:pt idx="13">
                  <c:v>9.9999999999999991E-31</c:v>
                </c:pt>
                <c:pt idx="14">
                  <c:v>1.780131597683976E-12</c:v>
                </c:pt>
                <c:pt idx="15">
                  <c:v>5.1070259132757201E-15</c:v>
                </c:pt>
                <c:pt idx="16">
                  <c:v>1.1102230246251565E-16</c:v>
                </c:pt>
                <c:pt idx="17">
                  <c:v>3.3306690738754696E-16</c:v>
                </c:pt>
                <c:pt idx="18">
                  <c:v>9.9999999999999991E-31</c:v>
                </c:pt>
                <c:pt idx="19">
                  <c:v>1.7881007785547354E-10</c:v>
                </c:pt>
                <c:pt idx="20">
                  <c:v>9.9999999999999991E-31</c:v>
                </c:pt>
                <c:pt idx="21">
                  <c:v>9.9999999999999991E-31</c:v>
                </c:pt>
                <c:pt idx="22">
                  <c:v>1.2069234500700077E-12</c:v>
                </c:pt>
                <c:pt idx="23">
                  <c:v>2.9287960945367786E-11</c:v>
                </c:pt>
                <c:pt idx="24">
                  <c:v>9.9999999999999991E-31</c:v>
                </c:pt>
                <c:pt idx="25">
                  <c:v>3.315903107647955E-12</c:v>
                </c:pt>
                <c:pt idx="26">
                  <c:v>9.9999999999999991E-31</c:v>
                </c:pt>
                <c:pt idx="27">
                  <c:v>1.6837020666571334E-10</c:v>
                </c:pt>
                <c:pt idx="28">
                  <c:v>7.0998762424778761E-13</c:v>
                </c:pt>
                <c:pt idx="29">
                  <c:v>3.9158010167739121E-10</c:v>
                </c:pt>
                <c:pt idx="30">
                  <c:v>9.9999999999999991E-31</c:v>
                </c:pt>
                <c:pt idx="31">
                  <c:v>1.0167000574767826E-10</c:v>
                </c:pt>
                <c:pt idx="32">
                  <c:v>9.9999999999999991E-31</c:v>
                </c:pt>
                <c:pt idx="33">
                  <c:v>9.9999999999999991E-31</c:v>
                </c:pt>
                <c:pt idx="34">
                  <c:v>1.3333346660687122</c:v>
                </c:pt>
                <c:pt idx="35">
                  <c:v>9.9999999999999991E-31</c:v>
                </c:pt>
                <c:pt idx="36">
                  <c:v>3.9523939676655573E-13</c:v>
                </c:pt>
                <c:pt idx="37">
                  <c:v>9.9999999999999991E-31</c:v>
                </c:pt>
                <c:pt idx="38">
                  <c:v>9.9999999999999991E-31</c:v>
                </c:pt>
                <c:pt idx="39">
                  <c:v>3.6814928883188713E-10</c:v>
                </c:pt>
                <c:pt idx="40">
                  <c:v>2.2088105346188331E-29</c:v>
                </c:pt>
                <c:pt idx="41">
                  <c:v>9.9999999999999991E-31</c:v>
                </c:pt>
                <c:pt idx="42">
                  <c:v>4.4408920985006262E-16</c:v>
                </c:pt>
                <c:pt idx="43">
                  <c:v>9.9999999999999991E-31</c:v>
                </c:pt>
                <c:pt idx="44">
                  <c:v>9.9999999999999991E-31</c:v>
                </c:pt>
                <c:pt idx="45">
                  <c:v>4.5234848814251297E-6</c:v>
                </c:pt>
                <c:pt idx="46">
                  <c:v>3.9666003814886608E-10</c:v>
                </c:pt>
                <c:pt idx="47">
                  <c:v>9.9999999999999991E-31</c:v>
                </c:pt>
                <c:pt idx="48">
                  <c:v>2.886579864025407E-15</c:v>
                </c:pt>
                <c:pt idx="49">
                  <c:v>1.3888874304544599E-4</c:v>
                </c:pt>
                <c:pt idx="50">
                  <c:v>3.3306690738754696E-16</c:v>
                </c:pt>
                <c:pt idx="51">
                  <c:v>2.5070989728703807E-10</c:v>
                </c:pt>
                <c:pt idx="52">
                  <c:v>3.393298975140624E-10</c:v>
                </c:pt>
                <c:pt idx="53">
                  <c:v>9.9920072216264089E-15</c:v>
                </c:pt>
                <c:pt idx="54">
                  <c:v>9.9999999999999991E-31</c:v>
                </c:pt>
                <c:pt idx="55">
                  <c:v>9.9999999999999991E-31</c:v>
                </c:pt>
                <c:pt idx="56">
                  <c:v>9.9999999999999991E-31</c:v>
                </c:pt>
                <c:pt idx="57">
                  <c:v>4.5588999242340833E-10</c:v>
                </c:pt>
                <c:pt idx="58">
                  <c:v>9.9999999999999991E-31</c:v>
                </c:pt>
                <c:pt idx="59">
                  <c:v>2.2826629475503069E-11</c:v>
                </c:pt>
                <c:pt idx="60">
                  <c:v>1.6678436409733877E-11</c:v>
                </c:pt>
                <c:pt idx="61">
                  <c:v>2.2204460492503131E-16</c:v>
                </c:pt>
                <c:pt idx="62">
                  <c:v>9.9999999999999991E-31</c:v>
                </c:pt>
                <c:pt idx="63">
                  <c:v>9.9999999999999991E-31</c:v>
                </c:pt>
                <c:pt idx="64">
                  <c:v>2.4987614207246835</c:v>
                </c:pt>
                <c:pt idx="65">
                  <c:v>9.9999999999999991E-31</c:v>
                </c:pt>
                <c:pt idx="66">
                  <c:v>1.590094722558888E-11</c:v>
                </c:pt>
                <c:pt idx="67">
                  <c:v>7.0943251273547503E-14</c:v>
                </c:pt>
                <c:pt idx="68">
                  <c:v>9.9999999999999991E-31</c:v>
                </c:pt>
                <c:pt idx="69">
                  <c:v>1.6836976257650349E-11</c:v>
                </c:pt>
                <c:pt idx="70">
                  <c:v>2.1887047729762799E-11</c:v>
                </c:pt>
                <c:pt idx="71">
                  <c:v>1.2751577571634698E-11</c:v>
                </c:pt>
                <c:pt idx="72">
                  <c:v>1.88417849490228E-25</c:v>
                </c:pt>
                <c:pt idx="73">
                  <c:v>9.4663308626521417E-30</c:v>
                </c:pt>
                <c:pt idx="74">
                  <c:v>3.8945002778234539E-10</c:v>
                </c:pt>
                <c:pt idx="75">
                  <c:v>3.6479819165435856E-10</c:v>
                </c:pt>
                <c:pt idx="76">
                  <c:v>7.9936057773011271E-15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E7-47FE-A360-BBE8FD9512E3}"/>
            </c:ext>
          </c:extLst>
        </c:ser>
        <c:ser>
          <c:idx val="2"/>
          <c:order val="2"/>
          <c:tx>
            <c:strRef>
              <c:f>Resultaten!$U$1</c:f>
              <c:strCache>
                <c:ptCount val="1"/>
                <c:pt idx="0">
                  <c:v>SEC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Resultaten!$A$2:$A$78</c:f>
              <c:strCache>
                <c:ptCount val="77"/>
                <c:pt idx="0">
                  <c:v>-5*x**2 - 3*x</c:v>
                </c:pt>
                <c:pt idx="1">
                  <c:v>4*x</c:v>
                </c:pt>
                <c:pt idx="2">
                  <c:v>9 - 5*x**2</c:v>
                </c:pt>
                <c:pt idx="3">
                  <c:v>-10*x**4 - 8*x**3 - 3*x</c:v>
                </c:pt>
                <c:pt idx="4">
                  <c:v>4*x**4 + 4*x - 8</c:v>
                </c:pt>
                <c:pt idx="5">
                  <c:v>6*x**2 - 6*x - 10</c:v>
                </c:pt>
                <c:pt idx="6">
                  <c:v>x**3 - 5*x**2 + 9*x</c:v>
                </c:pt>
                <c:pt idx="7">
                  <c:v>9*x**4 - 8*x**2</c:v>
                </c:pt>
                <c:pt idx="8">
                  <c:v>9*x + 7</c:v>
                </c:pt>
                <c:pt idx="9">
                  <c:v>6*x**3 + 4*x + 8</c:v>
                </c:pt>
                <c:pt idx="10">
                  <c:v>10*x**5 - 9*x**3 - x</c:v>
                </c:pt>
                <c:pt idx="11">
                  <c:v>-4*x**2 + 6*x</c:v>
                </c:pt>
                <c:pt idx="12">
                  <c:v>-8*x**4 + x**3 - 2*x</c:v>
                </c:pt>
                <c:pt idx="13">
                  <c:v>5*x - 5</c:v>
                </c:pt>
                <c:pt idx="14">
                  <c:v>-6*x**3 - 8*x**2 - 7</c:v>
                </c:pt>
                <c:pt idx="15">
                  <c:v>10 - 5*x**2</c:v>
                </c:pt>
                <c:pt idx="16">
                  <c:v>9*x**4 - 4</c:v>
                </c:pt>
                <c:pt idx="17">
                  <c:v>-6*x**3 - 5*x**2</c:v>
                </c:pt>
                <c:pt idx="18">
                  <c:v>-x**3 + 9*x**2</c:v>
                </c:pt>
                <c:pt idx="19">
                  <c:v>-3*x**5 - 3*x**4 - 4*x**2 - 2</c:v>
                </c:pt>
                <c:pt idx="20">
                  <c:v>-7*x**4 - 5*x + 2</c:v>
                </c:pt>
                <c:pt idx="21">
                  <c:v>10*x**2 + 6*x</c:v>
                </c:pt>
                <c:pt idx="22">
                  <c:v>-6*x**3 + x**2 + 1</c:v>
                </c:pt>
                <c:pt idx="23">
                  <c:v>5*x**2 - 5*x - 3</c:v>
                </c:pt>
                <c:pt idx="24">
                  <c:v>9 - 2*x</c:v>
                </c:pt>
                <c:pt idx="25">
                  <c:v>2*x**2 - 10*x - 1</c:v>
                </c:pt>
                <c:pt idx="26">
                  <c:v>6*x</c:v>
                </c:pt>
                <c:pt idx="27">
                  <c:v>10 - x**2</c:v>
                </c:pt>
                <c:pt idx="28">
                  <c:v>-x**3 + 7*x**2 - 4</c:v>
                </c:pt>
                <c:pt idx="29">
                  <c:v>2*x**2 - 3</c:v>
                </c:pt>
                <c:pt idx="30">
                  <c:v>2*x**5 - 4*x**4 + 5*x</c:v>
                </c:pt>
                <c:pt idx="31">
                  <c:v>8*x**5 + 4*x**4 + 4*x**3 - 3*x + 6</c:v>
                </c:pt>
                <c:pt idx="32">
                  <c:v>-10*x**4 + 5*x</c:v>
                </c:pt>
                <c:pt idx="33">
                  <c:v>2*x + 3</c:v>
                </c:pt>
                <c:pt idx="34">
                  <c:v>-3*x**3 + 4*x**2</c:v>
                </c:pt>
                <c:pt idx="35">
                  <c:v>8*x</c:v>
                </c:pt>
                <c:pt idx="36">
                  <c:v>4*x**5 - 8*x**4 - 6*x**3 - 9*x - 9</c:v>
                </c:pt>
                <c:pt idx="37">
                  <c:v>9 - 2*x</c:v>
                </c:pt>
                <c:pt idx="38">
                  <c:v>-7*x</c:v>
                </c:pt>
                <c:pt idx="39">
                  <c:v>4*x**5 + 5*x**4 - 2*x**3 + 3</c:v>
                </c:pt>
                <c:pt idx="40">
                  <c:v>5*x**5 - 4*x**2 + 9*x</c:v>
                </c:pt>
                <c:pt idx="41">
                  <c:v>10*x**2 + 6*x</c:v>
                </c:pt>
                <c:pt idx="42">
                  <c:v>7*x**3 - 10*x**2 - 8*x</c:v>
                </c:pt>
                <c:pt idx="43">
                  <c:v>-4*x - 10</c:v>
                </c:pt>
                <c:pt idx="44">
                  <c:v>5*x**2 + 10*x</c:v>
                </c:pt>
                <c:pt idx="45">
                  <c:v>-4*x**3 + x**2</c:v>
                </c:pt>
                <c:pt idx="46">
                  <c:v>-5*x**3 + 4*x - 4</c:v>
                </c:pt>
                <c:pt idx="47">
                  <c:v>x - 6</c:v>
                </c:pt>
                <c:pt idx="48">
                  <c:v>-7*x**3 - 8*x**2</c:v>
                </c:pt>
                <c:pt idx="49">
                  <c:v>-3*x**5 - 6*x**3</c:v>
                </c:pt>
                <c:pt idx="50">
                  <c:v>-6*x**2 - 5*x</c:v>
                </c:pt>
                <c:pt idx="51">
                  <c:v>7*x**4 + 6*x**3 + 8*x + 3</c:v>
                </c:pt>
                <c:pt idx="52">
                  <c:v>2*x**4 - 6*x**2 + 4*x + 2</c:v>
                </c:pt>
                <c:pt idx="53">
                  <c:v>-4*x**2 - 5*x</c:v>
                </c:pt>
                <c:pt idx="54">
                  <c:v>10*x - 10</c:v>
                </c:pt>
                <c:pt idx="55">
                  <c:v>6 - 8*x</c:v>
                </c:pt>
                <c:pt idx="56">
                  <c:v>-10*x - 10</c:v>
                </c:pt>
                <c:pt idx="57">
                  <c:v>3*x**4 + 7*x**3 - 5*x**2 + 10</c:v>
                </c:pt>
                <c:pt idx="58">
                  <c:v>4*x + 1</c:v>
                </c:pt>
                <c:pt idx="59">
                  <c:v>-6*x**5 - 8*x**4 + 8</c:v>
                </c:pt>
                <c:pt idx="60">
                  <c:v>-2*x**3 - 6*x - 4</c:v>
                </c:pt>
                <c:pt idx="61">
                  <c:v>5*x**3 + 10*x**2</c:v>
                </c:pt>
                <c:pt idx="62">
                  <c:v>-9*x**2 + 8*x</c:v>
                </c:pt>
                <c:pt idx="63">
                  <c:v>-3*x**3 + 6*x**2</c:v>
                </c:pt>
                <c:pt idx="64">
                  <c:v>2*x**5 - 5*x**4</c:v>
                </c:pt>
                <c:pt idx="65">
                  <c:v>9 - 2*x</c:v>
                </c:pt>
                <c:pt idx="66">
                  <c:v>10*x**4 + 5*x</c:v>
                </c:pt>
                <c:pt idx="67">
                  <c:v>9*x**3 - 5*x</c:v>
                </c:pt>
                <c:pt idx="68">
                  <c:v>-6*x**2 - 6*x</c:v>
                </c:pt>
                <c:pt idx="69">
                  <c:v>10*x**2 - 1</c:v>
                </c:pt>
                <c:pt idx="70">
                  <c:v>-10*x**5 + 2*x**4 - x**2 + 8*x</c:v>
                </c:pt>
                <c:pt idx="71">
                  <c:v>-9*x**5 + 2*x**4 + 4*x**2 - 3*x + 5</c:v>
                </c:pt>
                <c:pt idx="72">
                  <c:v>2*x**2 - 3*x</c:v>
                </c:pt>
                <c:pt idx="73">
                  <c:v>6*x**3 - 3*x**2 + 10*x</c:v>
                </c:pt>
                <c:pt idx="74">
                  <c:v>9*x**3 - 10*x</c:v>
                </c:pt>
                <c:pt idx="75">
                  <c:v>-7*x**3 + 7*x**2 + 8*x + 2</c:v>
                </c:pt>
                <c:pt idx="76">
                  <c:v>x**2 - 6</c:v>
                </c:pt>
              </c:strCache>
            </c:strRef>
          </c:cat>
          <c:val>
            <c:numRef>
              <c:f>Resultaten!$U$2:$U$78</c:f>
              <c:numCache>
                <c:formatCode>0.00E+00</c:formatCode>
                <c:ptCount val="77"/>
                <c:pt idx="0">
                  <c:v>9.9920072216264089E-16</c:v>
                </c:pt>
                <c:pt idx="1">
                  <c:v>9.9999999999999991E-31</c:v>
                </c:pt>
                <c:pt idx="2">
                  <c:v>3.7747582837255322E-15</c:v>
                </c:pt>
                <c:pt idx="3">
                  <c:v>1.0646645059999991</c:v>
                </c:pt>
                <c:pt idx="4">
                  <c:v>9.9920072216264089E-16</c:v>
                </c:pt>
                <c:pt idx="5">
                  <c:v>9.9999999999999991E-31</c:v>
                </c:pt>
                <c:pt idx="6">
                  <c:v>2.0641875287231999E-17</c:v>
                </c:pt>
                <c:pt idx="7">
                  <c:v>1.8113954780574204E-11</c:v>
                </c:pt>
                <c:pt idx="8">
                  <c:v>7.7715611723760958E-16</c:v>
                </c:pt>
                <c:pt idx="9">
                  <c:v>3.9581893318541006E-11</c:v>
                </c:pt>
                <c:pt idx="10">
                  <c:v>0.24538617266023</c:v>
                </c:pt>
                <c:pt idx="11">
                  <c:v>6.9549516834707299E-12</c:v>
                </c:pt>
                <c:pt idx="12">
                  <c:v>0.59092873359999998</c:v>
                </c:pt>
                <c:pt idx="13">
                  <c:v>9.9999999999999991E-31</c:v>
                </c:pt>
                <c:pt idx="14">
                  <c:v>9.9999999999999991E-31</c:v>
                </c:pt>
                <c:pt idx="15">
                  <c:v>1.4876988529977098E-14</c:v>
                </c:pt>
                <c:pt idx="16">
                  <c:v>1.1102230246251565E-16</c:v>
                </c:pt>
                <c:pt idx="17">
                  <c:v>0.83332990555572473</c:v>
                </c:pt>
                <c:pt idx="18">
                  <c:v>1.0800249583553523E-12</c:v>
                </c:pt>
                <c:pt idx="19">
                  <c:v>1.789099979276898E-10</c:v>
                </c:pt>
                <c:pt idx="20">
                  <c:v>1.372922798618605</c:v>
                </c:pt>
                <c:pt idx="21">
                  <c:v>9.9920072216264089E-16</c:v>
                </c:pt>
                <c:pt idx="22">
                  <c:v>1.2074785615823203E-12</c:v>
                </c:pt>
                <c:pt idx="23">
                  <c:v>3.3364977447547517E-11</c:v>
                </c:pt>
                <c:pt idx="24">
                  <c:v>9.9999999999999991E-31</c:v>
                </c:pt>
                <c:pt idx="25">
                  <c:v>3.7633091087840853E-12</c:v>
                </c:pt>
                <c:pt idx="26">
                  <c:v>9.9999999999999991E-31</c:v>
                </c:pt>
                <c:pt idx="27">
                  <c:v>1.6839019068015659E-10</c:v>
                </c:pt>
                <c:pt idx="28">
                  <c:v>6.5503158452884236E-13</c:v>
                </c:pt>
                <c:pt idx="29">
                  <c:v>3.9158010167739121E-10</c:v>
                </c:pt>
                <c:pt idx="30">
                  <c:v>1.0009007511690901E-12</c:v>
                </c:pt>
                <c:pt idx="31">
                  <c:v>1.0167000574767826E-10</c:v>
                </c:pt>
                <c:pt idx="32">
                  <c:v>1.79824471285838E-13</c:v>
                </c:pt>
                <c:pt idx="33">
                  <c:v>9.9999999999999991E-31</c:v>
                </c:pt>
                <c:pt idx="34">
                  <c:v>1.7985612998927536E-13</c:v>
                </c:pt>
                <c:pt idx="35">
                  <c:v>9.9999999999999991E-31</c:v>
                </c:pt>
                <c:pt idx="36">
                  <c:v>3.9568348597640579E-13</c:v>
                </c:pt>
                <c:pt idx="37">
                  <c:v>9.9999999999999991E-31</c:v>
                </c:pt>
                <c:pt idx="38">
                  <c:v>9.9999999999999991E-31</c:v>
                </c:pt>
                <c:pt idx="39">
                  <c:v>3.6719560725373412E-10</c:v>
                </c:pt>
                <c:pt idx="40">
                  <c:v>9.0503691644932757E-16</c:v>
                </c:pt>
                <c:pt idx="41">
                  <c:v>9.9920072216264089E-16</c:v>
                </c:pt>
                <c:pt idx="42">
                  <c:v>4.4408920985006262E-16</c:v>
                </c:pt>
                <c:pt idx="43">
                  <c:v>9.9999999999999991E-31</c:v>
                </c:pt>
                <c:pt idx="44">
                  <c:v>9.9999999999999991E-31</c:v>
                </c:pt>
                <c:pt idx="45">
                  <c:v>8.1618428642369405E-6</c:v>
                </c:pt>
                <c:pt idx="46">
                  <c:v>3.9666003814886608E-10</c:v>
                </c:pt>
                <c:pt idx="47">
                  <c:v>9.9999999999999991E-31</c:v>
                </c:pt>
                <c:pt idx="48">
                  <c:v>1.1428541780658596</c:v>
                </c:pt>
                <c:pt idx="49">
                  <c:v>2.3693459403903501E-4</c:v>
                </c:pt>
                <c:pt idx="50">
                  <c:v>3.3306690738754696E-16</c:v>
                </c:pt>
                <c:pt idx="51">
                  <c:v>2.5070989728703807E-10</c:v>
                </c:pt>
                <c:pt idx="52">
                  <c:v>3.393298975140624E-10</c:v>
                </c:pt>
                <c:pt idx="53">
                  <c:v>2.5002222514558525E-13</c:v>
                </c:pt>
                <c:pt idx="54">
                  <c:v>9.9999999999999991E-31</c:v>
                </c:pt>
                <c:pt idx="55">
                  <c:v>9.9999999999999991E-31</c:v>
                </c:pt>
                <c:pt idx="56">
                  <c:v>9.9999999999999991E-31</c:v>
                </c:pt>
                <c:pt idx="57">
                  <c:v>4.5588999242340833E-10</c:v>
                </c:pt>
                <c:pt idx="58">
                  <c:v>9.9999999999999991E-31</c:v>
                </c:pt>
                <c:pt idx="59">
                  <c:v>2.4657831332319802E-11</c:v>
                </c:pt>
                <c:pt idx="60">
                  <c:v>1.6678658454338802E-11</c:v>
                </c:pt>
                <c:pt idx="61">
                  <c:v>2.886579864025407E-14</c:v>
                </c:pt>
                <c:pt idx="62">
                  <c:v>0.88888888887906004</c:v>
                </c:pt>
                <c:pt idx="63">
                  <c:v>2.5091040356528538E-13</c:v>
                </c:pt>
                <c:pt idx="64">
                  <c:v>4.4408920985006262E-16</c:v>
                </c:pt>
                <c:pt idx="65">
                  <c:v>9.9999999999999991E-31</c:v>
                </c:pt>
                <c:pt idx="66">
                  <c:v>0.79370052601574048</c:v>
                </c:pt>
                <c:pt idx="67">
                  <c:v>4.4937638225799326E-3</c:v>
                </c:pt>
                <c:pt idx="68">
                  <c:v>9.9999999999999991E-31</c:v>
                </c:pt>
                <c:pt idx="69">
                  <c:v>1.6849965867038463E-11</c:v>
                </c:pt>
                <c:pt idx="70">
                  <c:v>0.92559042741067654</c:v>
                </c:pt>
                <c:pt idx="71">
                  <c:v>1.2751577571634698E-11</c:v>
                </c:pt>
                <c:pt idx="72">
                  <c:v>6.9549516834707299E-12</c:v>
                </c:pt>
                <c:pt idx="73">
                  <c:v>8.2905001426761792E-16</c:v>
                </c:pt>
                <c:pt idx="74">
                  <c:v>1.054092553</c:v>
                </c:pt>
                <c:pt idx="75">
                  <c:v>3.6479308462844529E-10</c:v>
                </c:pt>
                <c:pt idx="76">
                  <c:v>7.9936057773011271E-15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E7-47FE-A360-BBE8FD951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8600495"/>
        <c:axId val="1728606735"/>
      </c:lineChart>
      <c:catAx>
        <c:axId val="17286004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06735"/>
        <c:crosses val="autoZero"/>
        <c:auto val="1"/>
        <c:lblAlgn val="ctr"/>
        <c:lblOffset val="100"/>
        <c:tickLblSkip val="1"/>
        <c:noMultiLvlLbl val="0"/>
      </c:catAx>
      <c:valAx>
        <c:axId val="1728606735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E+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86004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190499</xdr:colOff>
      <xdr:row>0</xdr:row>
      <xdr:rowOff>133349</xdr:rowOff>
    </xdr:from>
    <xdr:to>
      <xdr:col>16</xdr:col>
      <xdr:colOff>447674</xdr:colOff>
      <xdr:row>29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74F1EF2-D654-4596-8EC3-AE0057037B8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209549</xdr:colOff>
      <xdr:row>30</xdr:row>
      <xdr:rowOff>57149</xdr:rowOff>
    </xdr:from>
    <xdr:to>
      <xdr:col>16</xdr:col>
      <xdr:colOff>485774</xdr:colOff>
      <xdr:row>60</xdr:row>
      <xdr:rowOff>85724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7CD56D72-9267-45F6-9A02-3A06B9658C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78"/>
  <sheetViews>
    <sheetView zoomScale="85" zoomScaleNormal="85" workbookViewId="0"/>
  </sheetViews>
  <sheetFormatPr defaultRowHeight="15" x14ac:dyDescent="0.25"/>
  <cols>
    <col min="1" max="1" width="31.5703125" style="1" customWidth="1"/>
    <col min="2" max="2" width="2.140625" style="4" customWidth="1"/>
    <col min="3" max="3" width="12.42578125" style="3" bestFit="1" customWidth="1"/>
    <col min="4" max="4" width="12.85546875" style="3" bestFit="1" customWidth="1"/>
    <col min="5" max="5" width="12.42578125" style="3" bestFit="1" customWidth="1"/>
    <col min="6" max="6" width="2.140625" style="2" customWidth="1"/>
    <col min="7" max="7" width="12.42578125" style="6" bestFit="1" customWidth="1"/>
    <col min="8" max="8" width="2.140625" style="4" customWidth="1"/>
    <col min="9" max="10" width="9.28515625" style="1" bestFit="1" customWidth="1"/>
    <col min="11" max="11" width="8.7109375" style="1" bestFit="1" customWidth="1"/>
    <col min="12" max="12" width="2.140625" style="4" customWidth="1"/>
    <col min="13" max="13" width="17.85546875" style="6" customWidth="1"/>
    <col min="14" max="14" width="2.140625" style="4" customWidth="1"/>
    <col min="15" max="17" width="8.7109375" style="6" bestFit="1" customWidth="1"/>
    <col min="18" max="18" width="2.140625" style="4" customWidth="1"/>
    <col min="19" max="20" width="9.28515625" style="1" bestFit="1" customWidth="1"/>
    <col min="21" max="21" width="8.7109375" style="1" bestFit="1" customWidth="1"/>
    <col min="22" max="22" width="49.85546875" style="1" bestFit="1" customWidth="1"/>
    <col min="23" max="16384" width="9.140625" style="1"/>
  </cols>
  <sheetData>
    <row r="1" spans="1:22" s="4" customFormat="1" x14ac:dyDescent="0.25">
      <c r="A1" s="4" t="s">
        <v>0</v>
      </c>
      <c r="C1" s="7" t="s">
        <v>2</v>
      </c>
      <c r="D1" s="7" t="s">
        <v>3</v>
      </c>
      <c r="E1" s="7" t="s">
        <v>4</v>
      </c>
      <c r="F1" s="2"/>
      <c r="G1" s="5" t="s">
        <v>82</v>
      </c>
      <c r="I1" s="4" t="s">
        <v>79</v>
      </c>
      <c r="J1" s="4" t="s">
        <v>80</v>
      </c>
      <c r="K1" s="4" t="s">
        <v>81</v>
      </c>
      <c r="M1" s="5" t="s">
        <v>1</v>
      </c>
      <c r="O1" s="5" t="s">
        <v>83</v>
      </c>
      <c r="P1" s="5" t="s">
        <v>84</v>
      </c>
      <c r="Q1" s="5" t="s">
        <v>85</v>
      </c>
      <c r="S1" s="4" t="s">
        <v>79</v>
      </c>
      <c r="T1" s="4" t="s">
        <v>80</v>
      </c>
      <c r="U1" s="4" t="s">
        <v>81</v>
      </c>
      <c r="V1" s="2" t="s">
        <v>86</v>
      </c>
    </row>
    <row r="2" spans="1:22" x14ac:dyDescent="0.25">
      <c r="A2" s="1" t="s">
        <v>5</v>
      </c>
      <c r="C2" s="3">
        <v>-0.59999999998835896</v>
      </c>
      <c r="D2" s="3">
        <v>-0.6</v>
      </c>
      <c r="E2" s="3">
        <v>-0.59999999999999898</v>
      </c>
      <c r="G2" s="3">
        <v>-0.6</v>
      </c>
      <c r="H2" s="2"/>
      <c r="I2" s="1">
        <f>ABS(C2-G2)</f>
        <v>1.1641021480102154E-11</v>
      </c>
      <c r="J2" s="1">
        <f>ABS(D2-G2)</f>
        <v>0</v>
      </c>
      <c r="K2" s="1">
        <f>ABS(E2-G2)</f>
        <v>9.9920072216264089E-16</v>
      </c>
      <c r="M2" s="6">
        <v>2</v>
      </c>
      <c r="O2" s="6">
        <v>30</v>
      </c>
      <c r="P2" s="6">
        <v>61</v>
      </c>
      <c r="Q2" s="6">
        <v>19</v>
      </c>
      <c r="S2" s="1">
        <v>1.1641021480102154E-11</v>
      </c>
      <c r="T2" s="1">
        <f>V2</f>
        <v>9.9999999999999991E-31</v>
      </c>
      <c r="U2" s="1">
        <v>9.9920072216264089E-16</v>
      </c>
      <c r="V2" s="1">
        <f>1*10^-30</f>
        <v>9.9999999999999991E-31</v>
      </c>
    </row>
    <row r="3" spans="1:22" x14ac:dyDescent="0.25">
      <c r="A3" s="1" t="s">
        <v>6</v>
      </c>
      <c r="C3" s="3">
        <v>-1.16422427254292E-11</v>
      </c>
      <c r="D3" s="3">
        <v>0</v>
      </c>
      <c r="E3" s="3">
        <v>0</v>
      </c>
      <c r="G3" s="6">
        <v>0</v>
      </c>
      <c r="I3" s="1">
        <f t="shared" ref="I3:I66" si="0">ABS(C3-G3)</f>
        <v>1.16422427254292E-11</v>
      </c>
      <c r="J3" s="1">
        <f t="shared" ref="J3:J66" si="1">ABS(D3-G3)</f>
        <v>0</v>
      </c>
      <c r="K3" s="1">
        <f t="shared" ref="K3:K66" si="2">ABS(E3-G3)</f>
        <v>0</v>
      </c>
      <c r="M3" s="6">
        <v>1</v>
      </c>
      <c r="O3" s="6">
        <v>35</v>
      </c>
      <c r="P3" s="6">
        <v>2</v>
      </c>
      <c r="Q3" s="6">
        <v>1</v>
      </c>
      <c r="S3" s="1">
        <v>1.16422427254292E-11</v>
      </c>
      <c r="T3" s="1">
        <f>V2</f>
        <v>9.9999999999999991E-31</v>
      </c>
      <c r="U3" s="1">
        <f>V2</f>
        <v>9.9999999999999991E-31</v>
      </c>
      <c r="V3" s="6"/>
    </row>
    <row r="4" spans="1:22" x14ac:dyDescent="0.25">
      <c r="A4" s="1" t="s">
        <v>7</v>
      </c>
      <c r="C4" s="3">
        <v>-1.34164078649773</v>
      </c>
      <c r="D4" s="3">
        <v>-1.3416407864998701</v>
      </c>
      <c r="E4" s="3">
        <v>-1.3416407864998701</v>
      </c>
      <c r="G4" s="6">
        <f>-3*(SQRT(5))/5</f>
        <v>-1.3416407864998738</v>
      </c>
      <c r="I4" s="1">
        <f t="shared" si="0"/>
        <v>2.1438406605511773E-12</v>
      </c>
      <c r="J4" s="1">
        <f t="shared" si="1"/>
        <v>3.7747582837255322E-15</v>
      </c>
      <c r="K4" s="1">
        <f t="shared" si="2"/>
        <v>3.7747582837255322E-15</v>
      </c>
      <c r="M4" s="6">
        <v>2</v>
      </c>
      <c r="O4" s="6">
        <v>28</v>
      </c>
      <c r="P4" s="6">
        <v>12</v>
      </c>
      <c r="Q4" s="6">
        <v>11</v>
      </c>
      <c r="S4" s="1">
        <v>2.1438406605511773E-12</v>
      </c>
      <c r="T4" s="1">
        <v>3.7747582837255322E-15</v>
      </c>
      <c r="U4" s="1">
        <v>3.7747582837255322E-15</v>
      </c>
    </row>
    <row r="5" spans="1:22" x14ac:dyDescent="0.25">
      <c r="A5" s="1" t="s">
        <v>8</v>
      </c>
      <c r="C5" s="3">
        <v>-1.0646645064378299</v>
      </c>
      <c r="D5" s="3">
        <v>-1.0646645064337199</v>
      </c>
      <c r="E5" s="3">
        <v>-7.97566223134649E-16</v>
      </c>
      <c r="G5" s="6">
        <v>-1.064664506</v>
      </c>
      <c r="I5" s="1">
        <f t="shared" si="0"/>
        <v>4.3782999448183091E-10</v>
      </c>
      <c r="J5" s="1">
        <f t="shared" si="1"/>
        <v>4.3371994884466858E-10</v>
      </c>
      <c r="K5" s="1">
        <f t="shared" si="2"/>
        <v>1.0646645059999991</v>
      </c>
      <c r="M5" s="6">
        <v>2</v>
      </c>
      <c r="O5" s="6">
        <v>27</v>
      </c>
      <c r="P5" s="6">
        <v>11</v>
      </c>
      <c r="Q5" s="6">
        <v>12</v>
      </c>
      <c r="S5" s="1">
        <v>4.3782999448183091E-10</v>
      </c>
      <c r="T5" s="1">
        <v>4.3371994884466858E-10</v>
      </c>
      <c r="U5" s="1">
        <v>1.0646645059999991</v>
      </c>
    </row>
    <row r="6" spans="1:22" x14ac:dyDescent="0.25">
      <c r="A6" s="1" t="s">
        <v>9</v>
      </c>
      <c r="C6" s="3">
        <v>1.0000000000028999</v>
      </c>
      <c r="D6" s="3">
        <v>1</v>
      </c>
      <c r="E6" s="3">
        <v>0.999999999999999</v>
      </c>
      <c r="G6" s="3">
        <v>1</v>
      </c>
      <c r="I6" s="1">
        <f t="shared" si="0"/>
        <v>2.8999025403209089E-12</v>
      </c>
      <c r="J6" s="1">
        <f t="shared" si="1"/>
        <v>0</v>
      </c>
      <c r="K6" s="1">
        <f t="shared" si="2"/>
        <v>9.9920072216264089E-16</v>
      </c>
      <c r="M6" s="6">
        <v>2</v>
      </c>
      <c r="O6" s="6">
        <v>37</v>
      </c>
      <c r="P6" s="6">
        <v>13</v>
      </c>
      <c r="Q6" s="6">
        <v>14</v>
      </c>
      <c r="S6" s="1">
        <v>2.8999025403209089E-12</v>
      </c>
      <c r="T6" s="1">
        <f>V2</f>
        <v>9.9999999999999991E-31</v>
      </c>
      <c r="U6" s="1">
        <v>9.9920072216264089E-16</v>
      </c>
    </row>
    <row r="7" spans="1:22" x14ac:dyDescent="0.25">
      <c r="A7" s="1" t="s">
        <v>10</v>
      </c>
      <c r="C7" s="3">
        <v>1.88443731048318</v>
      </c>
      <c r="D7" s="3">
        <v>1.8844373104863399</v>
      </c>
      <c r="E7" s="3">
        <v>1.8844373104863399</v>
      </c>
      <c r="G7" s="3">
        <v>1.8844373104863399</v>
      </c>
      <c r="I7" s="1">
        <f t="shared" si="0"/>
        <v>3.1599167726881205E-12</v>
      </c>
      <c r="J7" s="1">
        <f t="shared" si="1"/>
        <v>0</v>
      </c>
      <c r="K7" s="1">
        <f t="shared" si="2"/>
        <v>0</v>
      </c>
      <c r="M7" s="6">
        <v>2</v>
      </c>
      <c r="O7" s="6">
        <v>35</v>
      </c>
      <c r="P7" s="6">
        <v>10</v>
      </c>
      <c r="Q7" s="6">
        <v>12</v>
      </c>
      <c r="S7" s="1">
        <v>3.1599167726881205E-12</v>
      </c>
      <c r="T7" s="1">
        <f>V2</f>
        <v>9.9999999999999991E-31</v>
      </c>
      <c r="U7" s="1">
        <f>V2</f>
        <v>9.9999999999999991E-31</v>
      </c>
    </row>
    <row r="8" spans="1:22" x14ac:dyDescent="0.25">
      <c r="A8" s="1" t="s">
        <v>11</v>
      </c>
      <c r="C8" s="3">
        <v>2.9096725029376099E-12</v>
      </c>
      <c r="D8" s="3">
        <v>-7.7245259839241404E-27</v>
      </c>
      <c r="E8" s="3">
        <v>2.0641875287231999E-17</v>
      </c>
      <c r="G8" s="6">
        <v>0</v>
      </c>
      <c r="I8" s="1">
        <f t="shared" si="0"/>
        <v>2.9096725029376099E-12</v>
      </c>
      <c r="J8" s="1">
        <f t="shared" si="1"/>
        <v>7.7245259839241404E-27</v>
      </c>
      <c r="K8" s="1">
        <f t="shared" si="2"/>
        <v>2.0641875287231999E-17</v>
      </c>
      <c r="M8" s="6">
        <v>1</v>
      </c>
      <c r="O8" s="6">
        <v>26</v>
      </c>
      <c r="P8" s="6">
        <v>5</v>
      </c>
      <c r="Q8" s="6">
        <v>7</v>
      </c>
      <c r="S8" s="1">
        <v>2.9096725029376099E-12</v>
      </c>
      <c r="T8" s="1">
        <v>7.7245259839241404E-27</v>
      </c>
      <c r="U8" s="1">
        <v>2.0641875287231999E-17</v>
      </c>
    </row>
    <row r="9" spans="1:22" x14ac:dyDescent="0.25">
      <c r="A9" s="1" t="s">
        <v>12</v>
      </c>
      <c r="C9" s="3">
        <v>0.94280904157785606</v>
      </c>
      <c r="D9" s="3">
        <v>0.94280904158206302</v>
      </c>
      <c r="E9" s="3">
        <v>0.94280904158188605</v>
      </c>
      <c r="G9" s="6">
        <v>0.94280904160000001</v>
      </c>
      <c r="I9" s="1">
        <f t="shared" si="0"/>
        <v>2.214395333766106E-11</v>
      </c>
      <c r="J9" s="1">
        <f t="shared" si="1"/>
        <v>1.7936985230448954E-11</v>
      </c>
      <c r="K9" s="1">
        <f t="shared" si="2"/>
        <v>1.8113954780574204E-11</v>
      </c>
      <c r="M9" s="6">
        <v>3</v>
      </c>
      <c r="O9" s="6">
        <v>25</v>
      </c>
      <c r="P9" s="6">
        <v>17</v>
      </c>
      <c r="Q9" s="6">
        <v>36</v>
      </c>
      <c r="S9" s="1">
        <v>2.214395333766106E-11</v>
      </c>
      <c r="T9" s="1">
        <v>1.7936985230448954E-11</v>
      </c>
      <c r="U9" s="1">
        <v>1.8113954780574204E-11</v>
      </c>
    </row>
    <row r="10" spans="1:22" x14ac:dyDescent="0.25">
      <c r="A10" s="1" t="s">
        <v>13</v>
      </c>
      <c r="C10" s="3">
        <v>-0.77777777777810098</v>
      </c>
      <c r="D10" s="3">
        <v>-0.77777777777777701</v>
      </c>
      <c r="E10" s="3">
        <v>-0.77777777777777701</v>
      </c>
      <c r="G10" s="6">
        <f>-7/9</f>
        <v>-0.77777777777777779</v>
      </c>
      <c r="I10" s="1">
        <f t="shared" si="0"/>
        <v>3.2318592246838307E-13</v>
      </c>
      <c r="J10" s="1">
        <f t="shared" si="1"/>
        <v>7.7715611723760958E-16</v>
      </c>
      <c r="K10" s="1">
        <f t="shared" si="2"/>
        <v>7.7715611723760958E-16</v>
      </c>
      <c r="M10" s="6">
        <v>1</v>
      </c>
      <c r="O10" s="6">
        <v>40</v>
      </c>
      <c r="P10" s="6">
        <v>2</v>
      </c>
      <c r="Q10" s="6">
        <v>1</v>
      </c>
      <c r="S10" s="1">
        <v>3.2318592246838307E-13</v>
      </c>
      <c r="T10" s="1">
        <v>7.7715611723760958E-16</v>
      </c>
      <c r="U10" s="1">
        <v>7.7715611723760958E-16</v>
      </c>
    </row>
    <row r="11" spans="1:22" x14ac:dyDescent="0.25">
      <c r="A11" s="1" t="s">
        <v>14</v>
      </c>
      <c r="C11" s="3">
        <v>-0.90139765006169903</v>
      </c>
      <c r="D11" s="3">
        <v>-0.90139765006041705</v>
      </c>
      <c r="E11" s="3">
        <v>-0.90139765006041805</v>
      </c>
      <c r="G11" s="6">
        <v>-0.90139765009999995</v>
      </c>
      <c r="I11" s="1">
        <f t="shared" si="0"/>
        <v>3.83009179927285E-11</v>
      </c>
      <c r="J11" s="1">
        <f t="shared" si="1"/>
        <v>3.9582892519263169E-11</v>
      </c>
      <c r="K11" s="1">
        <f t="shared" si="2"/>
        <v>3.9581893318541006E-11</v>
      </c>
      <c r="M11" s="6">
        <v>1</v>
      </c>
      <c r="O11" s="6">
        <v>29</v>
      </c>
      <c r="P11" s="6">
        <v>6</v>
      </c>
      <c r="Q11" s="6">
        <v>8</v>
      </c>
      <c r="S11" s="1">
        <v>3.83009179927285E-11</v>
      </c>
      <c r="T11" s="1">
        <v>3.9582892519263169E-11</v>
      </c>
      <c r="U11" s="1">
        <v>3.9581893318541006E-11</v>
      </c>
    </row>
    <row r="12" spans="1:22" x14ac:dyDescent="0.25">
      <c r="A12" s="1" t="s">
        <v>15</v>
      </c>
      <c r="C12" s="3">
        <v>1.0000000000028999</v>
      </c>
      <c r="D12" s="3">
        <v>1</v>
      </c>
      <c r="E12" s="3">
        <v>1.24538617266023</v>
      </c>
      <c r="G12" s="3">
        <v>1</v>
      </c>
      <c r="I12" s="1">
        <f t="shared" si="0"/>
        <v>2.8999025403209089E-12</v>
      </c>
      <c r="J12" s="1">
        <f t="shared" si="1"/>
        <v>0</v>
      </c>
      <c r="K12" s="1">
        <f t="shared" si="2"/>
        <v>0.24538617266023</v>
      </c>
      <c r="M12" s="6">
        <v>3</v>
      </c>
      <c r="O12" s="6">
        <v>30</v>
      </c>
      <c r="P12" s="6">
        <v>19</v>
      </c>
      <c r="Q12" s="6">
        <v>25</v>
      </c>
      <c r="S12" s="1">
        <v>2.8999025403209089E-12</v>
      </c>
      <c r="T12" s="1">
        <f>V2</f>
        <v>9.9999999999999991E-31</v>
      </c>
      <c r="U12" s="1">
        <v>0.24538617266023</v>
      </c>
      <c r="V12" s="6"/>
    </row>
    <row r="13" spans="1:22" x14ac:dyDescent="0.25">
      <c r="A13" s="1" t="s">
        <v>16</v>
      </c>
      <c r="C13" s="3">
        <v>-1.16422427254292E-11</v>
      </c>
      <c r="D13" s="3">
        <v>-1.88417849490228E-25</v>
      </c>
      <c r="E13" s="3">
        <v>6.9549516834707299E-12</v>
      </c>
      <c r="G13" s="3">
        <v>0</v>
      </c>
      <c r="I13" s="1">
        <f t="shared" si="0"/>
        <v>1.16422427254292E-11</v>
      </c>
      <c r="J13" s="1">
        <f t="shared" si="1"/>
        <v>1.88417849490228E-25</v>
      </c>
      <c r="K13" s="1">
        <f t="shared" si="2"/>
        <v>6.9549516834707299E-12</v>
      </c>
      <c r="M13" s="6">
        <v>2</v>
      </c>
      <c r="O13" s="6">
        <v>27</v>
      </c>
      <c r="P13" s="6">
        <v>14</v>
      </c>
      <c r="Q13" s="6">
        <v>13</v>
      </c>
      <c r="S13" s="1">
        <v>1.16422427254292E-11</v>
      </c>
      <c r="T13" s="1">
        <v>1.88417849490228E-25</v>
      </c>
      <c r="U13" s="1">
        <v>6.9549516834707299E-12</v>
      </c>
    </row>
    <row r="14" spans="1:22" x14ac:dyDescent="0.25">
      <c r="A14" s="1" t="s">
        <v>17</v>
      </c>
      <c r="C14" s="3">
        <v>-0.59092873356421505</v>
      </c>
      <c r="D14" s="3">
        <v>-0.590928733574555</v>
      </c>
      <c r="E14" s="3">
        <v>9.4867690092481602E-20</v>
      </c>
      <c r="G14" s="6">
        <v>-0.59092873359999998</v>
      </c>
      <c r="I14" s="1">
        <f t="shared" si="0"/>
        <v>3.5784930574322971E-11</v>
      </c>
      <c r="J14" s="1">
        <f t="shared" si="1"/>
        <v>2.5444979456779038E-11</v>
      </c>
      <c r="K14" s="1">
        <f t="shared" si="2"/>
        <v>0.59092873359999998</v>
      </c>
      <c r="M14" s="6">
        <v>2</v>
      </c>
      <c r="O14" s="6">
        <v>21</v>
      </c>
      <c r="P14" s="6">
        <v>13</v>
      </c>
      <c r="Q14" s="6">
        <v>13</v>
      </c>
      <c r="S14" s="1">
        <v>3.5784930574322971E-11</v>
      </c>
      <c r="T14" s="1">
        <v>2.5444979456779038E-11</v>
      </c>
      <c r="U14" s="1">
        <v>0.59092873359999998</v>
      </c>
    </row>
    <row r="15" spans="1:22" x14ac:dyDescent="0.25">
      <c r="A15" s="1" t="s">
        <v>18</v>
      </c>
      <c r="C15" s="3">
        <v>0.99999999998835698</v>
      </c>
      <c r="D15" s="3">
        <v>1</v>
      </c>
      <c r="E15" s="3">
        <v>1</v>
      </c>
      <c r="G15" s="6">
        <v>1</v>
      </c>
      <c r="I15" s="1">
        <f t="shared" si="0"/>
        <v>1.1643019881546479E-11</v>
      </c>
      <c r="J15" s="1">
        <f t="shared" si="1"/>
        <v>0</v>
      </c>
      <c r="K15" s="1">
        <f t="shared" si="2"/>
        <v>0</v>
      </c>
      <c r="M15" s="6">
        <v>1</v>
      </c>
      <c r="O15" s="6">
        <v>27</v>
      </c>
      <c r="P15" s="6">
        <v>2</v>
      </c>
      <c r="Q15" s="6">
        <v>1</v>
      </c>
      <c r="S15" s="1">
        <v>1.1643019881546479E-11</v>
      </c>
      <c r="T15" s="1">
        <f>V2</f>
        <v>9.9999999999999991E-31</v>
      </c>
      <c r="U15" s="1">
        <f>V2</f>
        <v>9.9999999999999991E-31</v>
      </c>
    </row>
    <row r="16" spans="1:22" x14ac:dyDescent="0.25">
      <c r="A16" s="1" t="s">
        <v>19</v>
      </c>
      <c r="C16" s="3">
        <v>-1.7252803962663099</v>
      </c>
      <c r="D16" s="3">
        <v>-1.7252803962686301</v>
      </c>
      <c r="E16" s="3">
        <v>-1.7252803962668499</v>
      </c>
      <c r="G16" s="3">
        <v>-1.7252803962668499</v>
      </c>
      <c r="I16" s="1">
        <f t="shared" si="0"/>
        <v>5.4001247917767614E-13</v>
      </c>
      <c r="J16" s="1">
        <f t="shared" si="1"/>
        <v>1.780131597683976E-12</v>
      </c>
      <c r="K16" s="1">
        <f t="shared" si="2"/>
        <v>0</v>
      </c>
      <c r="M16" s="6">
        <v>1</v>
      </c>
      <c r="O16" s="6">
        <v>36</v>
      </c>
      <c r="P16" s="6">
        <v>6</v>
      </c>
      <c r="Q16" s="6">
        <v>7</v>
      </c>
      <c r="S16" s="1">
        <v>5.4001247917767614E-13</v>
      </c>
      <c r="T16" s="1">
        <v>1.780131597683976E-12</v>
      </c>
      <c r="U16" s="1">
        <f>V2</f>
        <v>9.9999999999999991E-31</v>
      </c>
    </row>
    <row r="17" spans="1:21" x14ac:dyDescent="0.25">
      <c r="A17" s="1" t="s">
        <v>20</v>
      </c>
      <c r="C17" s="3">
        <v>-1.41421356236678</v>
      </c>
      <c r="D17" s="3">
        <v>-1.41421356237309</v>
      </c>
      <c r="E17" s="3">
        <v>-1.41421356237311</v>
      </c>
      <c r="G17" s="6">
        <f>-SQRT(2)</f>
        <v>-1.4142135623730951</v>
      </c>
      <c r="I17" s="1">
        <f t="shared" si="0"/>
        <v>6.3151706086728154E-12</v>
      </c>
      <c r="J17" s="1">
        <f t="shared" si="1"/>
        <v>5.1070259132757201E-15</v>
      </c>
      <c r="K17" s="1">
        <f t="shared" si="2"/>
        <v>1.4876988529977098E-14</v>
      </c>
      <c r="M17" s="6">
        <v>2</v>
      </c>
      <c r="O17" s="6">
        <v>29</v>
      </c>
      <c r="P17" s="6">
        <v>12</v>
      </c>
      <c r="Q17" s="6">
        <v>11</v>
      </c>
      <c r="S17" s="1">
        <v>6.3151706086728154E-12</v>
      </c>
      <c r="T17" s="1">
        <v>5.1070259132757201E-15</v>
      </c>
      <c r="U17" s="1">
        <v>1.4876988529977098E-14</v>
      </c>
    </row>
    <row r="18" spans="1:21" x14ac:dyDescent="0.25">
      <c r="A18" s="1" t="s">
        <v>21</v>
      </c>
      <c r="C18" s="3">
        <v>0.81649658092937805</v>
      </c>
      <c r="D18" s="3">
        <v>0.81649658092772603</v>
      </c>
      <c r="E18" s="3">
        <v>0.81649658092772603</v>
      </c>
      <c r="G18" s="6">
        <f>(SQRT(6))/3</f>
        <v>0.81649658092772592</v>
      </c>
      <c r="I18" s="1">
        <f t="shared" si="0"/>
        <v>1.6521228829446954E-12</v>
      </c>
      <c r="J18" s="1">
        <f t="shared" si="1"/>
        <v>1.1102230246251565E-16</v>
      </c>
      <c r="K18" s="1">
        <f t="shared" si="2"/>
        <v>1.1102230246251565E-16</v>
      </c>
      <c r="M18" s="6">
        <v>2</v>
      </c>
      <c r="O18" s="6">
        <v>26</v>
      </c>
      <c r="P18" s="6">
        <v>13</v>
      </c>
      <c r="Q18" s="6">
        <v>22</v>
      </c>
      <c r="S18" s="1">
        <v>1.6521228829446954E-12</v>
      </c>
      <c r="T18" s="1">
        <v>1.1102230246251565E-16</v>
      </c>
      <c r="U18" s="1">
        <v>1.1102230246251565E-16</v>
      </c>
    </row>
    <row r="19" spans="1:21" x14ac:dyDescent="0.25">
      <c r="A19" s="1" t="s">
        <v>22</v>
      </c>
      <c r="C19" s="3">
        <v>-0.83333333332557302</v>
      </c>
      <c r="D19" s="3">
        <v>-0.83333333333333304</v>
      </c>
      <c r="E19" s="3">
        <v>-3.4277776086372598E-6</v>
      </c>
      <c r="G19" s="6">
        <f>-5/6</f>
        <v>-0.83333333333333337</v>
      </c>
      <c r="I19" s="1">
        <f t="shared" si="0"/>
        <v>7.7603479198273817E-12</v>
      </c>
      <c r="J19" s="1">
        <f t="shared" si="1"/>
        <v>3.3306690738754696E-16</v>
      </c>
      <c r="K19" s="1">
        <f t="shared" si="2"/>
        <v>0.83332990555572473</v>
      </c>
      <c r="M19" s="6">
        <v>2</v>
      </c>
      <c r="O19" s="6">
        <v>37</v>
      </c>
      <c r="P19" s="6">
        <v>7</v>
      </c>
      <c r="Q19" s="6">
        <v>23</v>
      </c>
      <c r="S19" s="1">
        <v>7.7603479198273817E-12</v>
      </c>
      <c r="T19" s="1">
        <v>3.3306690738754696E-16</v>
      </c>
      <c r="U19" s="1">
        <v>0.83332990555572473</v>
      </c>
    </row>
    <row r="20" spans="1:21" x14ac:dyDescent="0.25">
      <c r="A20" s="1" t="s">
        <v>23</v>
      </c>
      <c r="C20" s="3">
        <v>8.9999999999992699</v>
      </c>
      <c r="D20" s="3">
        <v>9</v>
      </c>
      <c r="E20" s="3">
        <v>8.99999999999892</v>
      </c>
      <c r="G20" s="6">
        <v>9</v>
      </c>
      <c r="I20" s="1">
        <f t="shared" si="0"/>
        <v>7.3008266099350294E-13</v>
      </c>
      <c r="J20" s="1">
        <f t="shared" si="1"/>
        <v>0</v>
      </c>
      <c r="K20" s="1">
        <f t="shared" si="2"/>
        <v>1.0800249583553523E-12</v>
      </c>
      <c r="M20" s="6">
        <v>2</v>
      </c>
      <c r="O20" s="6">
        <v>28</v>
      </c>
      <c r="P20" s="6">
        <v>5</v>
      </c>
      <c r="Q20" s="6">
        <v>5</v>
      </c>
      <c r="S20" s="1">
        <v>7.3008266099350294E-13</v>
      </c>
      <c r="T20" s="1">
        <f>V2</f>
        <v>9.9999999999999991E-31</v>
      </c>
      <c r="U20" s="1">
        <v>1.0800249583553523E-12</v>
      </c>
    </row>
    <row r="21" spans="1:21" x14ac:dyDescent="0.25">
      <c r="A21" s="1" t="s">
        <v>24</v>
      </c>
      <c r="C21" s="3">
        <v>-1.6119137628236699</v>
      </c>
      <c r="D21" s="3">
        <v>-1.6119137628211899</v>
      </c>
      <c r="E21" s="3">
        <v>-1.61191376282109</v>
      </c>
      <c r="G21" s="6">
        <v>-1.611913763</v>
      </c>
      <c r="I21" s="1">
        <f t="shared" si="0"/>
        <v>1.7633006166306586E-10</v>
      </c>
      <c r="J21" s="1">
        <f t="shared" si="1"/>
        <v>1.7881007785547354E-10</v>
      </c>
      <c r="K21" s="1">
        <f t="shared" si="2"/>
        <v>1.789099979276898E-10</v>
      </c>
      <c r="M21" s="6">
        <v>1</v>
      </c>
      <c r="O21" s="6">
        <v>38</v>
      </c>
      <c r="P21" s="6">
        <v>8</v>
      </c>
      <c r="Q21" s="6">
        <v>10</v>
      </c>
      <c r="S21" s="1">
        <v>1.7633006166306586E-10</v>
      </c>
      <c r="T21" s="1">
        <v>1.7881007785547354E-10</v>
      </c>
      <c r="U21" s="1">
        <v>1.789099979276898E-10</v>
      </c>
    </row>
    <row r="22" spans="1:21" x14ac:dyDescent="0.25">
      <c r="A22" s="1" t="s">
        <v>25</v>
      </c>
      <c r="C22" s="3">
        <v>-0.99999999999708999</v>
      </c>
      <c r="D22" s="3">
        <v>-1</v>
      </c>
      <c r="E22" s="3">
        <v>0.372922798618605</v>
      </c>
      <c r="G22" s="3">
        <v>-1</v>
      </c>
      <c r="I22" s="1">
        <f t="shared" si="0"/>
        <v>2.9100055698449978E-12</v>
      </c>
      <c r="J22" s="1">
        <f t="shared" si="1"/>
        <v>0</v>
      </c>
      <c r="K22" s="1">
        <f t="shared" si="2"/>
        <v>1.372922798618605</v>
      </c>
      <c r="M22" s="6">
        <v>2</v>
      </c>
      <c r="O22" s="6">
        <v>30</v>
      </c>
      <c r="P22" s="6">
        <v>12</v>
      </c>
      <c r="Q22" s="6">
        <v>16</v>
      </c>
      <c r="S22" s="1">
        <v>2.9100055698449978E-12</v>
      </c>
      <c r="T22" s="1">
        <f>V2</f>
        <v>9.9999999999999991E-31</v>
      </c>
      <c r="U22" s="1">
        <v>1.372922798618605</v>
      </c>
    </row>
    <row r="23" spans="1:21" x14ac:dyDescent="0.25">
      <c r="A23" s="1" t="s">
        <v>26</v>
      </c>
      <c r="C23" s="3">
        <v>-0.59999999998835896</v>
      </c>
      <c r="D23" s="3">
        <v>-0.6</v>
      </c>
      <c r="E23" s="3">
        <v>-0.59999999999999898</v>
      </c>
      <c r="G23" s="3">
        <v>-0.6</v>
      </c>
      <c r="I23" s="1">
        <f t="shared" si="0"/>
        <v>1.1641021480102154E-11</v>
      </c>
      <c r="J23" s="1">
        <f t="shared" si="1"/>
        <v>0</v>
      </c>
      <c r="K23" s="1">
        <f t="shared" si="2"/>
        <v>9.9920072216264089E-16</v>
      </c>
      <c r="M23" s="6">
        <v>2</v>
      </c>
      <c r="O23" s="6">
        <v>32</v>
      </c>
      <c r="P23" s="6">
        <v>61</v>
      </c>
      <c r="Q23" s="6">
        <v>19</v>
      </c>
      <c r="S23" s="1">
        <v>1.1641021480102154E-11</v>
      </c>
      <c r="T23" s="1">
        <f>V2</f>
        <v>9.9999999999999991E-31</v>
      </c>
      <c r="U23" s="1">
        <v>9.9920072216264089E-16</v>
      </c>
    </row>
    <row r="24" spans="1:21" x14ac:dyDescent="0.25">
      <c r="A24" s="1" t="s">
        <v>27</v>
      </c>
      <c r="C24" s="3">
        <v>0.61185831848997496</v>
      </c>
      <c r="D24" s="3">
        <v>0.61185831850120698</v>
      </c>
      <c r="E24" s="3">
        <v>0.61185831850120753</v>
      </c>
      <c r="G24" s="6">
        <v>0.61185831850000005</v>
      </c>
      <c r="I24" s="1">
        <f t="shared" si="0"/>
        <v>1.0025091867760239E-11</v>
      </c>
      <c r="J24" s="1">
        <f t="shared" si="1"/>
        <v>1.2069234500700077E-12</v>
      </c>
      <c r="K24" s="1">
        <f t="shared" si="2"/>
        <v>1.2074785615823203E-12</v>
      </c>
      <c r="M24" s="6">
        <v>1</v>
      </c>
      <c r="O24" s="6">
        <v>37</v>
      </c>
      <c r="P24" s="6">
        <v>10</v>
      </c>
      <c r="Q24" s="6">
        <v>8</v>
      </c>
      <c r="S24" s="1">
        <v>1.0025091867760239E-11</v>
      </c>
      <c r="T24" s="1">
        <v>1.2069234500700077E-12</v>
      </c>
      <c r="U24" s="1">
        <v>1.2074785615823203E-12</v>
      </c>
    </row>
    <row r="25" spans="1:21" x14ac:dyDescent="0.25">
      <c r="A25" s="1" t="s">
        <v>28</v>
      </c>
      <c r="C25" s="3">
        <v>-0.42195444572717</v>
      </c>
      <c r="D25" s="3">
        <v>-0.42195444572928797</v>
      </c>
      <c r="E25" s="3">
        <v>-0.42195444573336499</v>
      </c>
      <c r="G25" s="6">
        <v>-0.42195444570000001</v>
      </c>
      <c r="I25" s="1">
        <f t="shared" si="0"/>
        <v>2.7169988481290375E-11</v>
      </c>
      <c r="J25" s="1">
        <f t="shared" si="1"/>
        <v>2.9287960945367786E-11</v>
      </c>
      <c r="K25" s="1">
        <f t="shared" si="2"/>
        <v>3.3364977447547517E-11</v>
      </c>
      <c r="M25" s="6">
        <v>2</v>
      </c>
      <c r="O25" s="6">
        <v>23</v>
      </c>
      <c r="P25" s="6">
        <v>13</v>
      </c>
      <c r="Q25" s="6">
        <v>11</v>
      </c>
      <c r="S25" s="1">
        <v>2.7169988481290375E-11</v>
      </c>
      <c r="T25" s="1">
        <v>2.9287960945367786E-11</v>
      </c>
      <c r="U25" s="1">
        <v>3.3364977447547517E-11</v>
      </c>
    </row>
    <row r="26" spans="1:21" x14ac:dyDescent="0.25">
      <c r="A26" s="1" t="s">
        <v>29</v>
      </c>
      <c r="C26" s="3">
        <v>4.5000000000465601</v>
      </c>
      <c r="D26" s="3">
        <v>4.5</v>
      </c>
      <c r="E26" s="3">
        <v>4.5</v>
      </c>
      <c r="G26" s="6">
        <v>4.5</v>
      </c>
      <c r="I26" s="1">
        <f t="shared" si="0"/>
        <v>4.6560089117519965E-11</v>
      </c>
      <c r="J26" s="1">
        <f t="shared" si="1"/>
        <v>0</v>
      </c>
      <c r="K26" s="1">
        <f t="shared" si="2"/>
        <v>0</v>
      </c>
      <c r="M26" s="6">
        <v>1</v>
      </c>
      <c r="O26" s="6">
        <v>40</v>
      </c>
      <c r="P26" s="6">
        <v>2</v>
      </c>
      <c r="Q26" s="6">
        <v>1</v>
      </c>
      <c r="S26" s="1">
        <v>4.6560089117519965E-11</v>
      </c>
      <c r="T26" s="1">
        <f>V2</f>
        <v>9.9999999999999991E-31</v>
      </c>
      <c r="U26" s="1">
        <f>V2</f>
        <v>9.9999999999999991E-31</v>
      </c>
    </row>
    <row r="27" spans="1:21" x14ac:dyDescent="0.25">
      <c r="A27" s="1" t="s">
        <v>30</v>
      </c>
      <c r="C27" s="3">
        <v>-9.8076211358421206E-2</v>
      </c>
      <c r="D27" s="3">
        <v>-9.8076211353315901E-2</v>
      </c>
      <c r="E27" s="3">
        <v>-9.8076211353763307E-2</v>
      </c>
      <c r="G27" s="6">
        <v>-9.8076211349999998E-2</v>
      </c>
      <c r="I27" s="1">
        <f t="shared" si="0"/>
        <v>8.4212081752355061E-12</v>
      </c>
      <c r="J27" s="1">
        <f t="shared" si="1"/>
        <v>3.315903107647955E-12</v>
      </c>
      <c r="K27" s="1">
        <f t="shared" si="2"/>
        <v>3.7633091087840853E-12</v>
      </c>
      <c r="M27" s="6">
        <v>2</v>
      </c>
      <c r="O27" s="6">
        <v>39</v>
      </c>
      <c r="P27" s="6">
        <v>10</v>
      </c>
      <c r="Q27" s="6">
        <v>10</v>
      </c>
      <c r="S27" s="1">
        <v>8.4212081752355061E-12</v>
      </c>
      <c r="T27" s="1">
        <v>3.315903107647955E-12</v>
      </c>
      <c r="U27" s="1">
        <v>3.7633091087840853E-12</v>
      </c>
    </row>
    <row r="28" spans="1:21" x14ac:dyDescent="0.25">
      <c r="A28" s="1" t="s">
        <v>31</v>
      </c>
      <c r="C28" s="3">
        <v>-1.16422427254292E-11</v>
      </c>
      <c r="D28" s="3">
        <v>0</v>
      </c>
      <c r="E28" s="3">
        <v>0</v>
      </c>
      <c r="G28" s="6">
        <v>0</v>
      </c>
      <c r="I28" s="1">
        <f t="shared" si="0"/>
        <v>1.16422427254292E-11</v>
      </c>
      <c r="J28" s="1">
        <f t="shared" si="1"/>
        <v>0</v>
      </c>
      <c r="K28" s="1">
        <f t="shared" si="2"/>
        <v>0</v>
      </c>
      <c r="M28" s="6">
        <v>1</v>
      </c>
      <c r="O28" s="6">
        <v>20</v>
      </c>
      <c r="P28" s="6">
        <v>2</v>
      </c>
      <c r="Q28" s="6">
        <v>1</v>
      </c>
      <c r="S28" s="1">
        <v>1.16422427254292E-11</v>
      </c>
      <c r="T28" s="1">
        <f>V2</f>
        <v>9.9999999999999991E-31</v>
      </c>
      <c r="U28" s="1">
        <f>V2</f>
        <v>9.9999999999999991E-31</v>
      </c>
    </row>
    <row r="29" spans="1:21" x14ac:dyDescent="0.25">
      <c r="A29" s="1" t="s">
        <v>32</v>
      </c>
      <c r="C29" s="3">
        <v>-3.1622776601696301</v>
      </c>
      <c r="D29" s="3">
        <v>-3.1622776601683702</v>
      </c>
      <c r="E29" s="3">
        <v>-3.1622776601683902</v>
      </c>
      <c r="G29" s="6">
        <v>-3.16227766</v>
      </c>
      <c r="I29" s="1">
        <f t="shared" si="0"/>
        <v>1.6963008775405797E-10</v>
      </c>
      <c r="J29" s="1">
        <f t="shared" si="1"/>
        <v>1.6837020666571334E-10</v>
      </c>
      <c r="K29" s="1">
        <f t="shared" si="2"/>
        <v>1.6839019068015659E-10</v>
      </c>
      <c r="M29" s="6">
        <v>2</v>
      </c>
      <c r="O29" s="6">
        <v>30</v>
      </c>
      <c r="P29" s="6">
        <v>9</v>
      </c>
      <c r="Q29" s="6">
        <v>10</v>
      </c>
      <c r="S29" s="1">
        <v>1.6963008775405797E-10</v>
      </c>
      <c r="T29" s="1">
        <v>1.6837020666571334E-10</v>
      </c>
      <c r="U29" s="1">
        <v>1.6839019068015659E-10</v>
      </c>
    </row>
    <row r="30" spans="1:21" x14ac:dyDescent="0.25">
      <c r="A30" s="1" t="s">
        <v>33</v>
      </c>
      <c r="C30" s="3">
        <v>-0.71982395800005206</v>
      </c>
      <c r="D30" s="3">
        <v>-0.71982395800070997</v>
      </c>
      <c r="E30" s="3">
        <v>-0.71982395800065502</v>
      </c>
      <c r="G30" s="6">
        <v>-0.71982395799999999</v>
      </c>
      <c r="I30" s="1">
        <f t="shared" si="0"/>
        <v>5.2069459854919842E-14</v>
      </c>
      <c r="J30" s="1">
        <f t="shared" si="1"/>
        <v>7.0998762424778761E-13</v>
      </c>
      <c r="K30" s="1">
        <f t="shared" si="2"/>
        <v>6.5503158452884236E-13</v>
      </c>
      <c r="M30" s="6">
        <v>0</v>
      </c>
      <c r="O30" s="6">
        <v>21</v>
      </c>
      <c r="P30" s="6">
        <v>16</v>
      </c>
      <c r="Q30" s="6">
        <v>19</v>
      </c>
      <c r="S30" s="1">
        <v>5.2069459854919842E-14</v>
      </c>
      <c r="T30" s="1">
        <v>7.0998762424778761E-13</v>
      </c>
      <c r="U30" s="1">
        <v>6.5503158452884236E-13</v>
      </c>
    </row>
    <row r="31" spans="1:21" x14ac:dyDescent="0.25">
      <c r="A31" s="1" t="s">
        <v>34</v>
      </c>
      <c r="C31" s="3">
        <v>-1.2247448713867899</v>
      </c>
      <c r="D31" s="3">
        <v>-1.2247448713915801</v>
      </c>
      <c r="E31" s="3">
        <v>-1.2247448713915801</v>
      </c>
      <c r="G31" s="6">
        <v>-1.224744871</v>
      </c>
      <c r="I31" s="1">
        <f t="shared" si="0"/>
        <v>3.8678993341534351E-10</v>
      </c>
      <c r="J31" s="1">
        <f t="shared" si="1"/>
        <v>3.9158010167739121E-10</v>
      </c>
      <c r="K31" s="1">
        <f t="shared" si="2"/>
        <v>3.9158010167739121E-10</v>
      </c>
      <c r="M31" s="6">
        <v>2</v>
      </c>
      <c r="O31" s="6">
        <v>27</v>
      </c>
      <c r="P31" s="6">
        <v>10</v>
      </c>
      <c r="Q31" s="6">
        <v>12</v>
      </c>
      <c r="S31" s="1">
        <v>3.8678993341534351E-10</v>
      </c>
      <c r="T31" s="1">
        <v>3.9158010167739121E-10</v>
      </c>
      <c r="U31" s="1">
        <v>3.9158010167739121E-10</v>
      </c>
    </row>
    <row r="32" spans="1:21" x14ac:dyDescent="0.25">
      <c r="A32" s="1" t="s">
        <v>35</v>
      </c>
      <c r="C32" s="3">
        <v>-1.16422427254292E-11</v>
      </c>
      <c r="D32" s="3">
        <v>0</v>
      </c>
      <c r="E32" s="3">
        <v>1.0009007511690901E-12</v>
      </c>
      <c r="G32" s="6">
        <v>0</v>
      </c>
      <c r="I32" s="1">
        <f t="shared" si="0"/>
        <v>1.16422427254292E-11</v>
      </c>
      <c r="J32" s="1">
        <f t="shared" si="1"/>
        <v>0</v>
      </c>
      <c r="K32" s="1">
        <f t="shared" si="2"/>
        <v>1.0009007511690901E-12</v>
      </c>
      <c r="M32" s="6">
        <v>1</v>
      </c>
      <c r="O32" s="6">
        <v>36</v>
      </c>
      <c r="P32" s="6">
        <v>4</v>
      </c>
      <c r="Q32" s="6">
        <v>4</v>
      </c>
      <c r="S32" s="1">
        <v>1.16422427254292E-11</v>
      </c>
      <c r="T32" s="1">
        <f>V2</f>
        <v>9.9999999999999991E-31</v>
      </c>
      <c r="U32" s="1">
        <v>1.0009007511690901E-12</v>
      </c>
    </row>
    <row r="33" spans="1:21" x14ac:dyDescent="0.25">
      <c r="A33" s="1" t="s">
        <v>36</v>
      </c>
      <c r="C33" s="3">
        <v>-1.02857203589956</v>
      </c>
      <c r="D33" s="3">
        <v>-1.0285720358983299</v>
      </c>
      <c r="E33" s="3">
        <v>-1.0285720358983299</v>
      </c>
      <c r="G33" s="6">
        <v>-1.0285720359999999</v>
      </c>
      <c r="I33" s="1">
        <f t="shared" si="0"/>
        <v>1.0043987863639359E-10</v>
      </c>
      <c r="J33" s="1">
        <f t="shared" si="1"/>
        <v>1.0167000574767826E-10</v>
      </c>
      <c r="K33" s="1">
        <f t="shared" si="2"/>
        <v>1.0167000574767826E-10</v>
      </c>
      <c r="M33" s="6">
        <v>1</v>
      </c>
      <c r="O33" s="6">
        <v>22</v>
      </c>
      <c r="P33" s="6">
        <v>6</v>
      </c>
      <c r="Q33" s="6">
        <v>27</v>
      </c>
      <c r="S33" s="1">
        <v>1.0043987863639359E-10</v>
      </c>
      <c r="T33" s="1">
        <v>1.0167000574767826E-10</v>
      </c>
      <c r="U33" s="1">
        <v>1.0167000574767826E-10</v>
      </c>
    </row>
    <row r="34" spans="1:21" x14ac:dyDescent="0.25">
      <c r="A34" s="1" t="s">
        <v>37</v>
      </c>
      <c r="C34" s="3">
        <v>-1.16422427254292E-11</v>
      </c>
      <c r="D34" s="3">
        <v>0</v>
      </c>
      <c r="E34" s="3">
        <v>-1.79824471285838E-13</v>
      </c>
      <c r="G34" s="6">
        <v>0</v>
      </c>
      <c r="I34" s="1">
        <f t="shared" si="0"/>
        <v>1.16422427254292E-11</v>
      </c>
      <c r="J34" s="1">
        <f t="shared" si="1"/>
        <v>0</v>
      </c>
      <c r="K34" s="1">
        <f t="shared" si="2"/>
        <v>1.79824471285838E-13</v>
      </c>
      <c r="M34" s="6">
        <v>2</v>
      </c>
      <c r="O34" s="6">
        <v>29</v>
      </c>
      <c r="P34" s="6">
        <v>10</v>
      </c>
      <c r="Q34" s="6">
        <v>16</v>
      </c>
      <c r="S34" s="1">
        <v>1.16422427254292E-11</v>
      </c>
      <c r="T34" s="1">
        <f>V2</f>
        <v>9.9999999999999991E-31</v>
      </c>
      <c r="U34" s="1">
        <v>1.79824471285838E-13</v>
      </c>
    </row>
    <row r="35" spans="1:21" x14ac:dyDescent="0.25">
      <c r="A35" s="1" t="s">
        <v>38</v>
      </c>
      <c r="C35" s="3">
        <v>-1.4999999999534299</v>
      </c>
      <c r="D35" s="3">
        <v>-1.5</v>
      </c>
      <c r="E35" s="3">
        <v>-1.5</v>
      </c>
      <c r="G35" s="6">
        <v>-1.5</v>
      </c>
      <c r="I35" s="1">
        <f t="shared" si="0"/>
        <v>4.6570081124741591E-11</v>
      </c>
      <c r="J35" s="1">
        <f t="shared" si="1"/>
        <v>0</v>
      </c>
      <c r="K35" s="1">
        <f t="shared" si="2"/>
        <v>0</v>
      </c>
      <c r="M35" s="6">
        <v>1</v>
      </c>
      <c r="O35" s="6">
        <v>39</v>
      </c>
      <c r="P35" s="6">
        <v>2</v>
      </c>
      <c r="Q35" s="6">
        <v>1</v>
      </c>
      <c r="S35" s="1">
        <v>4.6570081124741591E-11</v>
      </c>
      <c r="T35" s="1">
        <f>V2</f>
        <v>9.9999999999999991E-31</v>
      </c>
      <c r="U35" s="1">
        <f>V2</f>
        <v>9.9999999999999991E-31</v>
      </c>
    </row>
    <row r="36" spans="1:21" x14ac:dyDescent="0.25">
      <c r="A36" s="1" t="s">
        <v>39</v>
      </c>
      <c r="C36" s="3">
        <v>1.3333333333313899</v>
      </c>
      <c r="D36" s="3">
        <v>-1.3327353822837399E-6</v>
      </c>
      <c r="E36" s="3">
        <v>1.3333333333331501</v>
      </c>
      <c r="G36" s="6">
        <v>1.3333333333333299</v>
      </c>
      <c r="I36" s="1">
        <f t="shared" si="0"/>
        <v>1.9400037132299985E-12</v>
      </c>
      <c r="J36" s="1">
        <f t="shared" si="1"/>
        <v>1.3333346660687122</v>
      </c>
      <c r="K36" s="1">
        <f t="shared" si="2"/>
        <v>1.7985612998927536E-13</v>
      </c>
      <c r="M36" s="6">
        <v>2</v>
      </c>
      <c r="O36" s="6">
        <v>31</v>
      </c>
      <c r="P36" s="6">
        <v>17</v>
      </c>
      <c r="Q36" s="6">
        <v>10</v>
      </c>
      <c r="S36" s="1">
        <v>1.9400037132299985E-12</v>
      </c>
      <c r="T36" s="1">
        <v>1.3333346660687122</v>
      </c>
      <c r="U36" s="1">
        <v>1.7985612998927536E-13</v>
      </c>
    </row>
    <row r="37" spans="1:21" x14ac:dyDescent="0.25">
      <c r="A37" s="1" t="s">
        <v>40</v>
      </c>
      <c r="C37" s="3">
        <v>-1.16422427254292E-11</v>
      </c>
      <c r="D37" s="3">
        <v>0</v>
      </c>
      <c r="E37" s="3">
        <v>0</v>
      </c>
      <c r="G37" s="6">
        <v>0</v>
      </c>
      <c r="I37" s="1">
        <f t="shared" si="0"/>
        <v>1.16422427254292E-11</v>
      </c>
      <c r="J37" s="1">
        <f t="shared" si="1"/>
        <v>0</v>
      </c>
      <c r="K37" s="1">
        <f t="shared" si="2"/>
        <v>0</v>
      </c>
      <c r="M37" s="6">
        <v>1</v>
      </c>
      <c r="O37" s="6">
        <v>30</v>
      </c>
      <c r="P37" s="6">
        <v>2</v>
      </c>
      <c r="Q37" s="6">
        <v>1</v>
      </c>
      <c r="S37" s="1">
        <v>1.16422427254292E-11</v>
      </c>
      <c r="T37" s="1">
        <f>V2</f>
        <v>9.9999999999999991E-31</v>
      </c>
      <c r="U37" s="1">
        <f>V2</f>
        <v>9.9999999999999991E-31</v>
      </c>
    </row>
    <row r="38" spans="1:21" x14ac:dyDescent="0.25">
      <c r="A38" s="1" t="s">
        <v>41</v>
      </c>
      <c r="C38" s="3">
        <v>2.7087585639994298</v>
      </c>
      <c r="D38" s="3">
        <v>2.7087585639996048</v>
      </c>
      <c r="E38" s="3">
        <v>2.7087585639996044</v>
      </c>
      <c r="G38" s="6">
        <v>2.708758564</v>
      </c>
      <c r="I38" s="1">
        <f t="shared" si="0"/>
        <v>5.702105454474804E-13</v>
      </c>
      <c r="J38" s="1">
        <f t="shared" si="1"/>
        <v>3.9523939676655573E-13</v>
      </c>
      <c r="K38" s="1">
        <f t="shared" si="2"/>
        <v>3.9568348597640579E-13</v>
      </c>
      <c r="M38" s="6">
        <v>1</v>
      </c>
      <c r="O38" s="6">
        <v>23</v>
      </c>
      <c r="P38" s="6">
        <v>4</v>
      </c>
      <c r="Q38" s="6">
        <v>6</v>
      </c>
      <c r="S38" s="1">
        <v>5.702105454474804E-13</v>
      </c>
      <c r="T38" s="1">
        <v>3.9523939676655573E-13</v>
      </c>
      <c r="U38" s="1">
        <v>3.9568348597640579E-13</v>
      </c>
    </row>
    <row r="39" spans="1:21" x14ac:dyDescent="0.25">
      <c r="A39" s="1" t="s">
        <v>29</v>
      </c>
      <c r="C39" s="3">
        <v>4.5000000000465601</v>
      </c>
      <c r="D39" s="3">
        <v>4.5</v>
      </c>
      <c r="E39" s="3">
        <v>4.5</v>
      </c>
      <c r="G39" s="6">
        <v>4.5</v>
      </c>
      <c r="I39" s="1">
        <f t="shared" si="0"/>
        <v>4.6560089117519965E-11</v>
      </c>
      <c r="J39" s="1">
        <f t="shared" si="1"/>
        <v>0</v>
      </c>
      <c r="K39" s="1">
        <f t="shared" si="2"/>
        <v>0</v>
      </c>
      <c r="M39" s="6">
        <v>1</v>
      </c>
      <c r="O39" s="6">
        <v>33</v>
      </c>
      <c r="P39" s="6">
        <v>2</v>
      </c>
      <c r="Q39" s="6">
        <v>1</v>
      </c>
      <c r="S39" s="1">
        <v>4.6560089117519965E-11</v>
      </c>
      <c r="T39" s="1">
        <f>V2</f>
        <v>9.9999999999999991E-31</v>
      </c>
      <c r="U39" s="1">
        <f>V2</f>
        <v>9.9999999999999991E-31</v>
      </c>
    </row>
    <row r="40" spans="1:21" x14ac:dyDescent="0.25">
      <c r="A40" s="1" t="s">
        <v>42</v>
      </c>
      <c r="C40" s="3">
        <v>-1.16422427254292E-11</v>
      </c>
      <c r="D40" s="3">
        <v>0</v>
      </c>
      <c r="E40" s="3">
        <v>0</v>
      </c>
      <c r="G40" s="6">
        <v>0</v>
      </c>
      <c r="I40" s="1">
        <f t="shared" si="0"/>
        <v>1.16422427254292E-11</v>
      </c>
      <c r="J40" s="1">
        <f t="shared" si="1"/>
        <v>0</v>
      </c>
      <c r="K40" s="1">
        <f t="shared" si="2"/>
        <v>0</v>
      </c>
      <c r="M40" s="6">
        <v>1</v>
      </c>
      <c r="O40" s="6">
        <v>35</v>
      </c>
      <c r="P40" s="6">
        <v>2</v>
      </c>
      <c r="Q40" s="6">
        <v>1</v>
      </c>
      <c r="S40" s="1">
        <v>1.16422427254292E-11</v>
      </c>
      <c r="T40" s="1">
        <f>V2</f>
        <v>9.9999999999999991E-31</v>
      </c>
      <c r="U40" s="1">
        <f>V2</f>
        <v>9.9999999999999991E-31</v>
      </c>
    </row>
    <row r="41" spans="1:21" x14ac:dyDescent="0.25">
      <c r="A41" s="1" t="s">
        <v>43</v>
      </c>
      <c r="C41" s="3">
        <v>-1.6529543813674501</v>
      </c>
      <c r="D41" s="3">
        <v>-1.6529543813681493</v>
      </c>
      <c r="E41" s="3">
        <v>-1.6529543813671956</v>
      </c>
      <c r="G41" s="6">
        <v>-1.652954381</v>
      </c>
      <c r="I41" s="1">
        <f t="shared" si="0"/>
        <v>3.6745007037097821E-10</v>
      </c>
      <c r="J41" s="1">
        <f t="shared" si="1"/>
        <v>3.6814928883188713E-10</v>
      </c>
      <c r="K41" s="1">
        <f t="shared" si="2"/>
        <v>3.6719560725373412E-10</v>
      </c>
      <c r="M41" s="6">
        <v>1</v>
      </c>
      <c r="O41" s="6">
        <v>32</v>
      </c>
      <c r="P41" s="6">
        <v>8</v>
      </c>
      <c r="Q41" s="6">
        <v>12</v>
      </c>
      <c r="S41" s="1">
        <v>3.6745007037097821E-10</v>
      </c>
      <c r="T41" s="1">
        <v>3.6814928883188713E-10</v>
      </c>
      <c r="U41" s="1">
        <v>3.6719560725373412E-10</v>
      </c>
    </row>
    <row r="42" spans="1:21" x14ac:dyDescent="0.25">
      <c r="A42" s="1" t="s">
        <v>44</v>
      </c>
      <c r="C42" s="3">
        <v>2.9096725029376103E-12</v>
      </c>
      <c r="D42" s="3">
        <v>-2.2088105346188331E-29</v>
      </c>
      <c r="E42" s="3">
        <v>9.0503691644932757E-16</v>
      </c>
      <c r="G42" s="6">
        <v>0</v>
      </c>
      <c r="I42" s="1">
        <f t="shared" si="0"/>
        <v>2.9096725029376103E-12</v>
      </c>
      <c r="J42" s="1">
        <f t="shared" si="1"/>
        <v>2.2088105346188331E-29</v>
      </c>
      <c r="K42" s="1">
        <f t="shared" si="2"/>
        <v>9.0503691644932757E-16</v>
      </c>
      <c r="M42" s="6">
        <v>1</v>
      </c>
      <c r="O42" s="6">
        <v>20</v>
      </c>
      <c r="P42" s="6">
        <v>5</v>
      </c>
      <c r="Q42" s="6">
        <v>6</v>
      </c>
      <c r="S42" s="1">
        <v>2.9096725029376103E-12</v>
      </c>
      <c r="T42" s="1">
        <v>2.2088105346188331E-29</v>
      </c>
      <c r="U42" s="1">
        <v>9.0503691644932757E-16</v>
      </c>
    </row>
    <row r="43" spans="1:21" x14ac:dyDescent="0.25">
      <c r="A43" s="1" t="s">
        <v>26</v>
      </c>
      <c r="C43" s="3">
        <v>-0.59999999998835896</v>
      </c>
      <c r="D43" s="3">
        <v>-0.6</v>
      </c>
      <c r="E43" s="3">
        <v>-0.59999999999999898</v>
      </c>
      <c r="G43" s="6">
        <v>-0.6</v>
      </c>
      <c r="I43" s="1">
        <f t="shared" si="0"/>
        <v>1.1641021480102154E-11</v>
      </c>
      <c r="J43" s="1">
        <f t="shared" si="1"/>
        <v>0</v>
      </c>
      <c r="K43" s="1">
        <f t="shared" si="2"/>
        <v>9.9920072216264089E-16</v>
      </c>
      <c r="M43" s="6">
        <v>2</v>
      </c>
      <c r="O43" s="6">
        <v>26</v>
      </c>
      <c r="P43" s="6">
        <v>61</v>
      </c>
      <c r="Q43" s="6">
        <v>19</v>
      </c>
      <c r="S43" s="1">
        <v>1.1641021480102154E-11</v>
      </c>
      <c r="T43" s="1">
        <f>V2</f>
        <v>9.9999999999999991E-31</v>
      </c>
      <c r="U43" s="1">
        <v>9.9920072216264089E-16</v>
      </c>
    </row>
    <row r="44" spans="1:21" x14ac:dyDescent="0.25">
      <c r="A44" s="1" t="s">
        <v>45</v>
      </c>
      <c r="C44" s="3">
        <v>-0.57142857143189796</v>
      </c>
      <c r="D44" s="3">
        <v>-0.57142857142857095</v>
      </c>
      <c r="E44" s="3">
        <v>-0.57142857142857095</v>
      </c>
      <c r="G44" s="6">
        <v>-0.5714285714285714</v>
      </c>
      <c r="I44" s="1">
        <f t="shared" si="0"/>
        <v>3.3265612486843565E-12</v>
      </c>
      <c r="J44" s="1">
        <f t="shared" si="1"/>
        <v>4.4408920985006262E-16</v>
      </c>
      <c r="K44" s="1">
        <f t="shared" si="2"/>
        <v>4.4408920985006262E-16</v>
      </c>
      <c r="M44" s="6">
        <v>3</v>
      </c>
      <c r="O44" s="6">
        <v>27</v>
      </c>
      <c r="P44" s="6">
        <v>25</v>
      </c>
      <c r="Q44" s="6">
        <v>26</v>
      </c>
      <c r="S44" s="1">
        <v>3.3265612486843565E-12</v>
      </c>
      <c r="T44" s="1">
        <v>4.4408920985006262E-16</v>
      </c>
      <c r="U44" s="1">
        <v>4.4408920985006262E-16</v>
      </c>
    </row>
    <row r="45" spans="1:21" x14ac:dyDescent="0.25">
      <c r="A45" s="1" t="s">
        <v>46</v>
      </c>
      <c r="C45" s="3">
        <v>-2.50000000001164</v>
      </c>
      <c r="D45" s="3">
        <v>-2.5</v>
      </c>
      <c r="E45" s="3">
        <v>-2.5</v>
      </c>
      <c r="G45" s="6">
        <v>-2.5</v>
      </c>
      <c r="I45" s="1">
        <f t="shared" si="0"/>
        <v>1.1640022279379991E-11</v>
      </c>
      <c r="J45" s="1">
        <f t="shared" si="1"/>
        <v>0</v>
      </c>
      <c r="K45" s="1">
        <f t="shared" si="2"/>
        <v>0</v>
      </c>
      <c r="M45" s="6">
        <v>1</v>
      </c>
      <c r="O45" s="6">
        <v>29</v>
      </c>
      <c r="P45" s="6">
        <v>2</v>
      </c>
      <c r="Q45" s="6">
        <v>1</v>
      </c>
      <c r="S45" s="1">
        <v>1.1640022279379991E-11</v>
      </c>
      <c r="T45" s="1">
        <f>V2</f>
        <v>9.9999999999999991E-31</v>
      </c>
      <c r="U45" s="1">
        <f>V2</f>
        <v>9.9999999999999991E-31</v>
      </c>
    </row>
    <row r="46" spans="1:21" x14ac:dyDescent="0.25">
      <c r="A46" s="1" t="s">
        <v>47</v>
      </c>
      <c r="C46" s="3">
        <v>-1.9999999999970901</v>
      </c>
      <c r="D46" s="3">
        <v>-2</v>
      </c>
      <c r="E46" s="3">
        <v>-2</v>
      </c>
      <c r="G46" s="6">
        <v>-2</v>
      </c>
      <c r="I46" s="1">
        <f t="shared" si="0"/>
        <v>2.9098945475425353E-12</v>
      </c>
      <c r="J46" s="1">
        <f t="shared" si="1"/>
        <v>0</v>
      </c>
      <c r="K46" s="1">
        <f t="shared" si="2"/>
        <v>0</v>
      </c>
      <c r="M46" s="6">
        <v>2</v>
      </c>
      <c r="O46" s="6">
        <v>28</v>
      </c>
      <c r="P46" s="6">
        <v>10</v>
      </c>
      <c r="Q46" s="6">
        <v>13</v>
      </c>
      <c r="S46" s="1">
        <v>2.9098945475425353E-12</v>
      </c>
      <c r="T46" s="1">
        <f>V2</f>
        <v>9.9999999999999991E-31</v>
      </c>
      <c r="U46" s="1">
        <f>V2</f>
        <v>9.9999999999999991E-31</v>
      </c>
    </row>
    <row r="47" spans="1:21" x14ac:dyDescent="0.25">
      <c r="A47" s="1" t="s">
        <v>48</v>
      </c>
      <c r="C47" s="3">
        <v>1.2137339999999999E-9</v>
      </c>
      <c r="D47" s="3">
        <v>-4.5234848814251297E-6</v>
      </c>
      <c r="E47" s="3">
        <v>-8.1618428642369405E-6</v>
      </c>
      <c r="G47" s="6">
        <v>0</v>
      </c>
      <c r="I47" s="1">
        <f t="shared" si="0"/>
        <v>1.2137339999999999E-9</v>
      </c>
      <c r="J47" s="1">
        <f t="shared" si="1"/>
        <v>4.5234848814251297E-6</v>
      </c>
      <c r="K47" s="1">
        <f t="shared" si="2"/>
        <v>8.1618428642369405E-6</v>
      </c>
      <c r="M47" s="6">
        <v>2</v>
      </c>
      <c r="O47" s="6">
        <v>31</v>
      </c>
      <c r="P47" s="6">
        <v>17</v>
      </c>
      <c r="Q47" s="6">
        <v>22</v>
      </c>
      <c r="S47" s="1">
        <v>1.2137339999999999E-9</v>
      </c>
      <c r="T47" s="1">
        <v>4.5234848814251297E-6</v>
      </c>
      <c r="U47" s="1">
        <v>8.1618428642369405E-6</v>
      </c>
    </row>
    <row r="48" spans="1:21" x14ac:dyDescent="0.25">
      <c r="A48" s="1" t="s">
        <v>49</v>
      </c>
      <c r="C48" s="3">
        <v>-1.20900771839369</v>
      </c>
      <c r="D48" s="3">
        <v>-1.2090077183966601</v>
      </c>
      <c r="E48" s="3">
        <v>-1.2090077183966601</v>
      </c>
      <c r="G48" s="6">
        <v>-1.2090077180000001</v>
      </c>
      <c r="I48" s="1">
        <f t="shared" si="0"/>
        <v>3.9368996951338886E-10</v>
      </c>
      <c r="J48" s="1">
        <f t="shared" si="1"/>
        <v>3.9666003814886608E-10</v>
      </c>
      <c r="K48" s="1">
        <f t="shared" si="2"/>
        <v>3.9666003814886608E-10</v>
      </c>
      <c r="M48" s="6">
        <v>1</v>
      </c>
      <c r="O48" s="6">
        <v>28</v>
      </c>
      <c r="P48" s="6">
        <v>5</v>
      </c>
      <c r="Q48" s="6">
        <v>9</v>
      </c>
      <c r="S48" s="1">
        <v>3.9368996951338886E-10</v>
      </c>
      <c r="T48" s="1">
        <v>3.9666003814886608E-10</v>
      </c>
      <c r="U48" s="1">
        <v>3.9666003814886608E-10</v>
      </c>
    </row>
    <row r="49" spans="1:21" x14ac:dyDescent="0.25">
      <c r="A49" s="1" t="s">
        <v>50</v>
      </c>
      <c r="C49" s="3">
        <v>6.0000000000465601</v>
      </c>
      <c r="D49" s="3">
        <v>6</v>
      </c>
      <c r="E49" s="3">
        <v>6</v>
      </c>
      <c r="G49" s="6">
        <v>6</v>
      </c>
      <c r="I49" s="1">
        <f t="shared" si="0"/>
        <v>4.6560089117519965E-11</v>
      </c>
      <c r="J49" s="1">
        <f t="shared" si="1"/>
        <v>0</v>
      </c>
      <c r="K49" s="1">
        <f t="shared" si="2"/>
        <v>0</v>
      </c>
      <c r="M49" s="6">
        <v>1</v>
      </c>
      <c r="O49" s="6">
        <v>40</v>
      </c>
      <c r="P49" s="6">
        <v>2</v>
      </c>
      <c r="Q49" s="6">
        <v>1</v>
      </c>
      <c r="S49" s="1">
        <v>4.6560089117519965E-11</v>
      </c>
      <c r="T49" s="1">
        <f>V2</f>
        <v>9.9999999999999991E-31</v>
      </c>
      <c r="U49" s="1">
        <f>V2</f>
        <v>9.9999999999999991E-31</v>
      </c>
    </row>
    <row r="50" spans="1:21" x14ac:dyDescent="0.25">
      <c r="A50" s="1" t="s">
        <v>51</v>
      </c>
      <c r="C50" s="3">
        <v>-1.1428571428521499</v>
      </c>
      <c r="D50" s="3">
        <v>-1.1428571428571399</v>
      </c>
      <c r="E50" s="3">
        <v>-2.9647912831619601E-6</v>
      </c>
      <c r="G50" s="6">
        <v>-1.1428571428571428</v>
      </c>
      <c r="I50" s="1">
        <f t="shared" si="0"/>
        <v>4.992894986344254E-12</v>
      </c>
      <c r="J50" s="1">
        <f t="shared" si="1"/>
        <v>2.886579864025407E-15</v>
      </c>
      <c r="K50" s="1">
        <f t="shared" si="2"/>
        <v>1.1428541780658596</v>
      </c>
      <c r="M50" s="6">
        <v>2</v>
      </c>
      <c r="O50" s="6">
        <v>32</v>
      </c>
      <c r="P50" s="6">
        <v>6</v>
      </c>
      <c r="Q50" s="6">
        <v>24</v>
      </c>
      <c r="S50" s="1">
        <v>4.992894986344254E-12</v>
      </c>
      <c r="T50" s="1">
        <v>2.886579864025407E-15</v>
      </c>
      <c r="U50" s="1">
        <v>1.1428541780658596</v>
      </c>
    </row>
    <row r="51" spans="1:21" x14ac:dyDescent="0.25">
      <c r="A51" s="1" t="s">
        <v>52</v>
      </c>
      <c r="C51" s="3">
        <v>-1.9531250000071E-4</v>
      </c>
      <c r="D51" s="3">
        <v>-1.3888874304544599E-4</v>
      </c>
      <c r="E51" s="3">
        <v>-2.3693459403903501E-4</v>
      </c>
      <c r="G51" s="6">
        <v>0</v>
      </c>
      <c r="I51" s="1">
        <f t="shared" si="0"/>
        <v>1.9531250000071E-4</v>
      </c>
      <c r="J51" s="1">
        <f t="shared" si="1"/>
        <v>1.3888874304544599E-4</v>
      </c>
      <c r="K51" s="1">
        <f t="shared" si="2"/>
        <v>2.3693459403903501E-4</v>
      </c>
      <c r="M51" s="6">
        <v>1</v>
      </c>
      <c r="O51" s="6">
        <v>38</v>
      </c>
      <c r="P51" s="6">
        <v>19</v>
      </c>
      <c r="Q51" s="6">
        <v>26</v>
      </c>
      <c r="S51" s="1">
        <v>1.9531250000071E-4</v>
      </c>
      <c r="T51" s="1">
        <v>1.3888874304544599E-4</v>
      </c>
      <c r="U51" s="1">
        <v>2.3693459403903501E-4</v>
      </c>
    </row>
    <row r="52" spans="1:21" x14ac:dyDescent="0.25">
      <c r="A52" s="1" t="s">
        <v>53</v>
      </c>
      <c r="C52" s="3">
        <v>-0.83333333332557302</v>
      </c>
      <c r="D52" s="3">
        <v>-0.83333333333333304</v>
      </c>
      <c r="E52" s="3">
        <v>-0.83333333333333304</v>
      </c>
      <c r="G52" s="6">
        <v>-0.83333333333333337</v>
      </c>
      <c r="I52" s="1">
        <f t="shared" si="0"/>
        <v>7.7603479198273817E-12</v>
      </c>
      <c r="J52" s="1">
        <f t="shared" si="1"/>
        <v>3.3306690738754696E-16</v>
      </c>
      <c r="K52" s="1">
        <f t="shared" si="2"/>
        <v>3.3306690738754696E-16</v>
      </c>
      <c r="M52" s="6">
        <v>2</v>
      </c>
      <c r="O52" s="6">
        <v>20</v>
      </c>
      <c r="P52" s="6">
        <v>13</v>
      </c>
      <c r="Q52" s="6">
        <v>22</v>
      </c>
      <c r="S52" s="1">
        <v>7.7603479198273817E-12</v>
      </c>
      <c r="T52" s="1">
        <v>3.3306690738754696E-16</v>
      </c>
      <c r="U52" s="1">
        <v>3.3306690738754696E-16</v>
      </c>
    </row>
    <row r="53" spans="1:21" x14ac:dyDescent="0.25">
      <c r="A53" s="1" t="s">
        <v>54</v>
      </c>
      <c r="C53" s="3">
        <v>-1.3242816602476499</v>
      </c>
      <c r="D53" s="3">
        <v>-1.3242816602507099</v>
      </c>
      <c r="E53" s="3">
        <v>-1.3242816602507099</v>
      </c>
      <c r="G53" s="6">
        <v>-1.32428166</v>
      </c>
      <c r="I53" s="1">
        <f t="shared" si="0"/>
        <v>2.4764990058656622E-10</v>
      </c>
      <c r="J53" s="1">
        <f t="shared" si="1"/>
        <v>2.5070989728703807E-10</v>
      </c>
      <c r="K53" s="1">
        <f t="shared" si="2"/>
        <v>2.5070989728703807E-10</v>
      </c>
      <c r="M53" s="6">
        <v>2</v>
      </c>
      <c r="O53" s="6">
        <v>35</v>
      </c>
      <c r="P53" s="6">
        <v>13</v>
      </c>
      <c r="Q53" s="6">
        <v>11</v>
      </c>
      <c r="S53" s="1">
        <v>2.4764990058656622E-10</v>
      </c>
      <c r="T53" s="1">
        <v>2.5070989728703807E-10</v>
      </c>
      <c r="U53" s="1">
        <v>2.5070989728703807E-10</v>
      </c>
    </row>
    <row r="54" spans="1:21" x14ac:dyDescent="0.25">
      <c r="A54" s="1" t="s">
        <v>55</v>
      </c>
      <c r="C54" s="3">
        <v>-1.9403926636630699</v>
      </c>
      <c r="D54" s="3">
        <v>-1.9403926636606701</v>
      </c>
      <c r="E54" s="3">
        <v>-1.9403926636606701</v>
      </c>
      <c r="G54" s="6">
        <v>-1.940392664</v>
      </c>
      <c r="I54" s="1">
        <f t="shared" si="0"/>
        <v>3.3693003942403266E-10</v>
      </c>
      <c r="J54" s="1">
        <f t="shared" si="1"/>
        <v>3.393298975140624E-10</v>
      </c>
      <c r="K54" s="1">
        <f t="shared" si="2"/>
        <v>3.393298975140624E-10</v>
      </c>
      <c r="M54" s="6">
        <v>2</v>
      </c>
      <c r="O54" s="6">
        <v>32</v>
      </c>
      <c r="P54" s="6">
        <v>22</v>
      </c>
      <c r="Q54" s="6">
        <v>15</v>
      </c>
      <c r="S54" s="1">
        <v>3.3693003942403266E-10</v>
      </c>
      <c r="T54" s="1">
        <v>3.393298975140624E-10</v>
      </c>
      <c r="U54" s="1">
        <v>3.393298975140624E-10</v>
      </c>
    </row>
    <row r="55" spans="1:21" x14ac:dyDescent="0.25">
      <c r="A55" s="1" t="s">
        <v>56</v>
      </c>
      <c r="C55" s="3">
        <v>-1.25000000001164</v>
      </c>
      <c r="D55" s="3">
        <v>-1.24999999999999</v>
      </c>
      <c r="E55" s="3">
        <v>-1.25000000000025</v>
      </c>
      <c r="G55" s="6">
        <v>-1.25</v>
      </c>
      <c r="I55" s="1">
        <f t="shared" si="0"/>
        <v>1.1640022279379991E-11</v>
      </c>
      <c r="J55" s="1">
        <f t="shared" si="1"/>
        <v>9.9920072216264089E-15</v>
      </c>
      <c r="K55" s="1">
        <f t="shared" si="2"/>
        <v>2.5002222514558525E-13</v>
      </c>
      <c r="M55" s="6">
        <v>2</v>
      </c>
      <c r="O55" s="6">
        <v>24</v>
      </c>
      <c r="P55" s="6">
        <v>10</v>
      </c>
      <c r="Q55" s="6">
        <v>15</v>
      </c>
      <c r="S55" s="1">
        <v>1.1640022279379991E-11</v>
      </c>
      <c r="T55" s="1">
        <v>9.9920072216264089E-15</v>
      </c>
      <c r="U55" s="1">
        <v>2.5002222514558525E-13</v>
      </c>
    </row>
    <row r="56" spans="1:21" x14ac:dyDescent="0.25">
      <c r="A56" s="1" t="s">
        <v>57</v>
      </c>
      <c r="C56" s="3">
        <v>1.0000000000029097</v>
      </c>
      <c r="D56" s="3">
        <v>1</v>
      </c>
      <c r="E56" s="3">
        <v>1</v>
      </c>
      <c r="G56" s="6">
        <v>1</v>
      </c>
      <c r="I56" s="1">
        <f t="shared" si="0"/>
        <v>2.9096725029376103E-12</v>
      </c>
      <c r="J56" s="1">
        <f t="shared" si="1"/>
        <v>0</v>
      </c>
      <c r="K56" s="1">
        <f t="shared" si="2"/>
        <v>0</v>
      </c>
      <c r="M56" s="6">
        <v>1</v>
      </c>
      <c r="O56" s="6">
        <v>38</v>
      </c>
      <c r="P56" s="6">
        <v>2</v>
      </c>
      <c r="Q56" s="6">
        <v>1</v>
      </c>
      <c r="S56" s="1">
        <v>2.9096725029376103E-12</v>
      </c>
      <c r="T56" s="1">
        <f>V2</f>
        <v>9.9999999999999991E-31</v>
      </c>
      <c r="U56" s="1">
        <f>V2</f>
        <v>9.9999999999999991E-31</v>
      </c>
    </row>
    <row r="57" spans="1:21" x14ac:dyDescent="0.25">
      <c r="A57" s="1" t="s">
        <v>58</v>
      </c>
      <c r="C57" s="3">
        <v>0.74999999998835776</v>
      </c>
      <c r="D57" s="3">
        <v>0.75</v>
      </c>
      <c r="E57" s="3">
        <v>0.75</v>
      </c>
      <c r="G57" s="6">
        <v>0.75</v>
      </c>
      <c r="I57" s="1">
        <f t="shared" si="0"/>
        <v>1.1642242725429242E-11</v>
      </c>
      <c r="J57" s="1">
        <f t="shared" si="1"/>
        <v>0</v>
      </c>
      <c r="K57" s="1">
        <f t="shared" si="2"/>
        <v>0</v>
      </c>
      <c r="M57" s="6">
        <v>1</v>
      </c>
      <c r="O57" s="6">
        <v>30</v>
      </c>
      <c r="P57" s="6">
        <v>2</v>
      </c>
      <c r="Q57" s="6">
        <v>1</v>
      </c>
      <c r="S57" s="1">
        <v>1.1642242725429242E-11</v>
      </c>
      <c r="T57" s="1">
        <f>V2</f>
        <v>9.9999999999999991E-31</v>
      </c>
      <c r="U57" s="1">
        <f>V2</f>
        <v>9.9999999999999991E-31</v>
      </c>
    </row>
    <row r="58" spans="1:21" x14ac:dyDescent="0.25">
      <c r="A58" s="1" t="s">
        <v>59</v>
      </c>
      <c r="C58" s="3">
        <v>-0.99999999999709033</v>
      </c>
      <c r="D58" s="3">
        <v>-1</v>
      </c>
      <c r="E58" s="3">
        <v>-1</v>
      </c>
      <c r="G58" s="6">
        <v>-1</v>
      </c>
      <c r="I58" s="1">
        <f t="shared" si="0"/>
        <v>2.9096725029376103E-12</v>
      </c>
      <c r="J58" s="1">
        <f t="shared" si="1"/>
        <v>0</v>
      </c>
      <c r="K58" s="1">
        <f t="shared" si="2"/>
        <v>0</v>
      </c>
      <c r="M58" s="6">
        <v>1</v>
      </c>
      <c r="O58" s="6">
        <v>34</v>
      </c>
      <c r="P58" s="6">
        <v>2</v>
      </c>
      <c r="Q58" s="6">
        <v>1</v>
      </c>
      <c r="S58" s="1">
        <v>2.9096725029376103E-12</v>
      </c>
      <c r="T58" s="1">
        <f>V2</f>
        <v>9.9999999999999991E-31</v>
      </c>
      <c r="U58" s="1">
        <f>V2</f>
        <v>9.9999999999999991E-31</v>
      </c>
    </row>
    <row r="59" spans="1:21" x14ac:dyDescent="0.25">
      <c r="A59" s="1" t="s">
        <v>60</v>
      </c>
      <c r="C59" s="3">
        <v>-2.7778117035439198</v>
      </c>
      <c r="D59" s="3">
        <v>-2.7778117035441099</v>
      </c>
      <c r="E59" s="3">
        <v>-2.7778117035441099</v>
      </c>
      <c r="G59" s="6">
        <v>-2.7778117039999999</v>
      </c>
      <c r="I59" s="1">
        <f t="shared" si="0"/>
        <v>4.5608006260522416E-10</v>
      </c>
      <c r="J59" s="1">
        <f t="shared" si="1"/>
        <v>4.5588999242340833E-10</v>
      </c>
      <c r="K59" s="1">
        <f t="shared" si="2"/>
        <v>4.5588999242340833E-10</v>
      </c>
      <c r="M59" s="6">
        <v>2</v>
      </c>
      <c r="O59" s="6">
        <v>21</v>
      </c>
      <c r="P59" s="6">
        <v>11</v>
      </c>
      <c r="Q59" s="6">
        <v>15</v>
      </c>
      <c r="S59" s="1">
        <v>4.5608006260522416E-10</v>
      </c>
      <c r="T59" s="1">
        <v>4.5588999242340833E-10</v>
      </c>
      <c r="U59" s="1">
        <v>4.5588999242340833E-10</v>
      </c>
    </row>
    <row r="60" spans="1:21" x14ac:dyDescent="0.25">
      <c r="A60" s="1" t="s">
        <v>61</v>
      </c>
      <c r="C60" s="3">
        <v>-0.25000000001164224</v>
      </c>
      <c r="D60" s="3">
        <v>-0.25</v>
      </c>
      <c r="E60" s="3">
        <v>-0.25</v>
      </c>
      <c r="G60" s="6">
        <v>-0.25</v>
      </c>
      <c r="I60" s="1">
        <f t="shared" si="0"/>
        <v>1.1642242725429242E-11</v>
      </c>
      <c r="J60" s="1">
        <f t="shared" si="1"/>
        <v>0</v>
      </c>
      <c r="K60" s="1">
        <f t="shared" si="2"/>
        <v>0</v>
      </c>
      <c r="M60" s="6">
        <v>1</v>
      </c>
      <c r="O60" s="6">
        <v>31</v>
      </c>
      <c r="P60" s="6">
        <v>2</v>
      </c>
      <c r="Q60" s="6">
        <v>1</v>
      </c>
      <c r="S60" s="1">
        <v>1.1642242725429242E-11</v>
      </c>
      <c r="T60" s="1">
        <f>V2</f>
        <v>9.9999999999999991E-31</v>
      </c>
      <c r="U60" s="1">
        <f>V2</f>
        <v>9.9999999999999991E-31</v>
      </c>
    </row>
    <row r="61" spans="1:21" x14ac:dyDescent="0.25">
      <c r="A61" s="1" t="s">
        <v>62</v>
      </c>
      <c r="C61" s="3">
        <v>0.88090411047887685</v>
      </c>
      <c r="D61" s="3">
        <v>0.88090411047717332</v>
      </c>
      <c r="E61" s="3">
        <v>0.88090411047534212</v>
      </c>
      <c r="G61" s="6">
        <v>0.88090411049999995</v>
      </c>
      <c r="I61" s="1">
        <f t="shared" si="0"/>
        <v>2.1123103266518228E-11</v>
      </c>
      <c r="J61" s="1">
        <f t="shared" si="1"/>
        <v>2.2826629475503069E-11</v>
      </c>
      <c r="K61" s="1">
        <f t="shared" si="2"/>
        <v>2.4657831332319802E-11</v>
      </c>
      <c r="M61" s="6">
        <v>1</v>
      </c>
      <c r="O61" s="6">
        <v>20</v>
      </c>
      <c r="P61" s="6">
        <v>6</v>
      </c>
      <c r="Q61" s="6">
        <v>8</v>
      </c>
      <c r="S61" s="1">
        <v>2.1123103266518228E-11</v>
      </c>
      <c r="T61" s="1">
        <v>2.2826629475503069E-11</v>
      </c>
      <c r="U61" s="1">
        <v>2.4657831332319802E-11</v>
      </c>
    </row>
    <row r="62" spans="1:21" x14ac:dyDescent="0.25">
      <c r="A62" s="1" t="s">
        <v>63</v>
      </c>
      <c r="C62" s="3">
        <v>-0.59607163797481988</v>
      </c>
      <c r="D62" s="3">
        <v>-0.59607163798332152</v>
      </c>
      <c r="E62" s="3">
        <v>-0.5960716379833213</v>
      </c>
      <c r="G62" s="6">
        <v>-0.59607163799999996</v>
      </c>
      <c r="I62" s="1">
        <f t="shared" si="0"/>
        <v>2.5180080243103475E-11</v>
      </c>
      <c r="J62" s="1">
        <f t="shared" si="1"/>
        <v>1.6678436409733877E-11</v>
      </c>
      <c r="K62" s="1">
        <f t="shared" si="2"/>
        <v>1.6678658454338802E-11</v>
      </c>
      <c r="M62" s="6">
        <v>1</v>
      </c>
      <c r="O62" s="6">
        <v>36</v>
      </c>
      <c r="P62" s="6">
        <v>6</v>
      </c>
      <c r="Q62" s="6">
        <v>6</v>
      </c>
      <c r="S62" s="1">
        <v>2.5180080243103475E-11</v>
      </c>
      <c r="T62" s="1">
        <v>1.6678436409733877E-11</v>
      </c>
      <c r="U62" s="1">
        <v>1.6678658454338802E-11</v>
      </c>
    </row>
    <row r="63" spans="1:21" x14ac:dyDescent="0.25">
      <c r="A63" s="1" t="s">
        <v>64</v>
      </c>
      <c r="C63" s="3">
        <v>-1.9999999999970903</v>
      </c>
      <c r="D63" s="3">
        <v>-1.9999999999999998</v>
      </c>
      <c r="E63" s="3">
        <v>-1.9999999999999711</v>
      </c>
      <c r="G63" s="6">
        <v>-2</v>
      </c>
      <c r="I63" s="1">
        <f t="shared" si="0"/>
        <v>2.9096725029376103E-12</v>
      </c>
      <c r="J63" s="1">
        <f t="shared" si="1"/>
        <v>2.2204460492503131E-16</v>
      </c>
      <c r="K63" s="1">
        <f t="shared" si="2"/>
        <v>2.886579864025407E-14</v>
      </c>
      <c r="M63" s="6">
        <v>2</v>
      </c>
      <c r="O63" s="6">
        <v>35</v>
      </c>
      <c r="P63" s="6">
        <v>6</v>
      </c>
      <c r="Q63" s="6">
        <v>9</v>
      </c>
      <c r="S63" s="1">
        <v>2.9096725029376103E-12</v>
      </c>
      <c r="T63" s="1">
        <v>2.2204460492503131E-16</v>
      </c>
      <c r="U63" s="1">
        <v>2.886579864025407E-14</v>
      </c>
    </row>
    <row r="64" spans="1:21" x14ac:dyDescent="0.25">
      <c r="A64" s="1" t="s">
        <v>65</v>
      </c>
      <c r="C64" s="3">
        <v>-1.16422427254292E-11</v>
      </c>
      <c r="D64" s="3">
        <v>0</v>
      </c>
      <c r="E64" s="3">
        <v>0.88888888887906004</v>
      </c>
      <c r="G64" s="6">
        <v>0</v>
      </c>
      <c r="I64" s="1">
        <f t="shared" si="0"/>
        <v>1.16422427254292E-11</v>
      </c>
      <c r="J64" s="1">
        <f t="shared" si="1"/>
        <v>0</v>
      </c>
      <c r="K64" s="1">
        <f t="shared" si="2"/>
        <v>0.88888888887906004</v>
      </c>
      <c r="M64" s="6">
        <v>2</v>
      </c>
      <c r="O64" s="6">
        <v>38</v>
      </c>
      <c r="P64" s="6">
        <v>12</v>
      </c>
      <c r="Q64" s="6">
        <v>16</v>
      </c>
      <c r="S64" s="1">
        <v>1.16422427254292E-11</v>
      </c>
      <c r="T64" s="1">
        <f>V2</f>
        <v>9.9999999999999991E-31</v>
      </c>
      <c r="U64" s="1">
        <v>0.88888888887906004</v>
      </c>
    </row>
    <row r="65" spans="1:21" x14ac:dyDescent="0.25">
      <c r="A65" s="1" t="s">
        <v>66</v>
      </c>
      <c r="C65" s="3">
        <v>2.0000000000029097</v>
      </c>
      <c r="D65" s="3">
        <v>2</v>
      </c>
      <c r="E65" s="3">
        <v>1.9999999999997491</v>
      </c>
      <c r="G65" s="6">
        <v>2</v>
      </c>
      <c r="I65" s="1">
        <f t="shared" si="0"/>
        <v>2.9096725029376103E-12</v>
      </c>
      <c r="J65" s="1">
        <f t="shared" si="1"/>
        <v>0</v>
      </c>
      <c r="K65" s="1">
        <f t="shared" si="2"/>
        <v>2.5091040356528538E-13</v>
      </c>
      <c r="M65" s="6">
        <v>2</v>
      </c>
      <c r="O65" s="6">
        <v>34</v>
      </c>
      <c r="P65" s="6">
        <v>6</v>
      </c>
      <c r="Q65" s="6">
        <v>7</v>
      </c>
      <c r="S65" s="1">
        <v>2.9096725029376103E-12</v>
      </c>
      <c r="T65" s="1">
        <f>V2</f>
        <v>9.9999999999999991E-31</v>
      </c>
      <c r="U65" s="1">
        <v>2.5091040356528538E-13</v>
      </c>
    </row>
    <row r="66" spans="1:21" x14ac:dyDescent="0.25">
      <c r="A66" s="1" t="s">
        <v>67</v>
      </c>
      <c r="C66" s="3">
        <v>2.4999999999992717</v>
      </c>
      <c r="D66" s="3">
        <v>1.2385792753165387E-3</v>
      </c>
      <c r="E66" s="3">
        <v>2.5000000000000004</v>
      </c>
      <c r="G66" s="6">
        <v>2.5</v>
      </c>
      <c r="I66" s="1">
        <f t="shared" si="0"/>
        <v>7.2830630415410269E-13</v>
      </c>
      <c r="J66" s="1">
        <f t="shared" si="1"/>
        <v>2.4987614207246835</v>
      </c>
      <c r="K66" s="1">
        <f t="shared" si="2"/>
        <v>4.4408920985006262E-16</v>
      </c>
      <c r="M66" s="6">
        <v>2</v>
      </c>
      <c r="O66" s="6">
        <v>30</v>
      </c>
      <c r="P66" s="6">
        <v>23</v>
      </c>
      <c r="Q66" s="6">
        <v>10</v>
      </c>
      <c r="S66" s="1">
        <v>7.2830630415410269E-13</v>
      </c>
      <c r="T66" s="1">
        <v>2.4987614207246835</v>
      </c>
      <c r="U66" s="1">
        <v>4.4408920985006262E-16</v>
      </c>
    </row>
    <row r="67" spans="1:21" x14ac:dyDescent="0.25">
      <c r="A67" s="1" t="s">
        <v>29</v>
      </c>
      <c r="C67" s="3">
        <v>4.5000000000465654</v>
      </c>
      <c r="D67" s="3">
        <v>4.5</v>
      </c>
      <c r="E67" s="3">
        <v>4.5</v>
      </c>
      <c r="G67" s="6">
        <v>4.5</v>
      </c>
      <c r="I67" s="1">
        <f t="shared" ref="I67:I78" si="3">ABS(C67-G67)</f>
        <v>4.6565418188038166E-11</v>
      </c>
      <c r="J67" s="1">
        <f t="shared" ref="J67:J78" si="4">ABS(D67-G67)</f>
        <v>0</v>
      </c>
      <c r="K67" s="1">
        <f t="shared" ref="K67:K77" si="5">ABS(E67-G67)</f>
        <v>0</v>
      </c>
      <c r="M67" s="6">
        <v>1</v>
      </c>
      <c r="O67" s="6">
        <v>24</v>
      </c>
      <c r="P67" s="6">
        <v>2</v>
      </c>
      <c r="Q67" s="6">
        <v>1</v>
      </c>
      <c r="S67" s="1">
        <v>4.6565418188038166E-11</v>
      </c>
      <c r="T67" s="1">
        <f>V2</f>
        <v>9.9999999999999991E-31</v>
      </c>
      <c r="U67" s="1">
        <f>V2</f>
        <v>9.9999999999999991E-31</v>
      </c>
    </row>
    <row r="68" spans="1:21" x14ac:dyDescent="0.25">
      <c r="A68" s="1" t="s">
        <v>68</v>
      </c>
      <c r="C68" s="3">
        <v>-0.79370052598533203</v>
      </c>
      <c r="D68" s="3">
        <v>-0.79370052598409901</v>
      </c>
      <c r="E68" s="3">
        <v>1.5740474895720101E-11</v>
      </c>
      <c r="G68" s="6">
        <v>-0.79370052599999996</v>
      </c>
      <c r="I68" s="1">
        <f t="shared" si="3"/>
        <v>1.4667933534440181E-11</v>
      </c>
      <c r="J68" s="1">
        <f t="shared" si="4"/>
        <v>1.590094722558888E-11</v>
      </c>
      <c r="K68" s="1">
        <f t="shared" si="5"/>
        <v>0.79370052601574048</v>
      </c>
      <c r="M68" s="6">
        <v>2</v>
      </c>
      <c r="O68" s="6">
        <v>25</v>
      </c>
      <c r="P68" s="6">
        <v>11</v>
      </c>
      <c r="Q68" s="6">
        <v>10</v>
      </c>
      <c r="S68" s="1">
        <v>1.4667933534440181E-11</v>
      </c>
      <c r="T68" s="1">
        <v>1.590094722558888E-11</v>
      </c>
      <c r="U68" s="1">
        <v>0.79370052601574048</v>
      </c>
    </row>
    <row r="69" spans="1:21" x14ac:dyDescent="0.25">
      <c r="A69" s="1" t="s">
        <v>69</v>
      </c>
      <c r="C69" s="3">
        <v>-0.7453559925023</v>
      </c>
      <c r="D69" s="3">
        <v>-0.74535599249992901</v>
      </c>
      <c r="E69" s="3">
        <v>-0.74086222867742002</v>
      </c>
      <c r="G69" s="6">
        <v>-0.74535599249999995</v>
      </c>
      <c r="I69" s="1">
        <f t="shared" si="3"/>
        <v>2.3000490401159368E-12</v>
      </c>
      <c r="J69" s="1">
        <f t="shared" si="4"/>
        <v>7.0943251273547503E-14</v>
      </c>
      <c r="K69" s="1">
        <f t="shared" si="5"/>
        <v>4.4937638225799326E-3</v>
      </c>
      <c r="M69" s="6">
        <v>3</v>
      </c>
      <c r="O69" s="6">
        <v>32</v>
      </c>
      <c r="P69" s="6">
        <v>17</v>
      </c>
      <c r="Q69" s="6">
        <v>21</v>
      </c>
      <c r="S69" s="1">
        <v>2.3000490401159368E-12</v>
      </c>
      <c r="T69" s="1">
        <v>7.0943251273547503E-14</v>
      </c>
      <c r="U69" s="1">
        <v>4.4937638225799326E-3</v>
      </c>
    </row>
    <row r="70" spans="1:21" x14ac:dyDescent="0.25">
      <c r="A70" s="1" t="s">
        <v>70</v>
      </c>
      <c r="C70" s="3">
        <v>-1.00000000001164</v>
      </c>
      <c r="D70" s="3">
        <v>-1</v>
      </c>
      <c r="E70" s="3">
        <v>-1</v>
      </c>
      <c r="G70" s="6">
        <v>-1</v>
      </c>
      <c r="I70" s="1">
        <f t="shared" si="3"/>
        <v>1.1640022279379991E-11</v>
      </c>
      <c r="J70" s="1">
        <f t="shared" si="4"/>
        <v>0</v>
      </c>
      <c r="K70" s="1">
        <f t="shared" si="5"/>
        <v>0</v>
      </c>
      <c r="M70" s="6">
        <v>2</v>
      </c>
      <c r="O70" s="6">
        <v>26</v>
      </c>
      <c r="P70" s="6">
        <v>12</v>
      </c>
      <c r="Q70" s="6">
        <v>21</v>
      </c>
      <c r="S70" s="1">
        <v>1.1640022279379991E-11</v>
      </c>
      <c r="T70" s="1">
        <f>V2</f>
        <v>9.9999999999999991E-31</v>
      </c>
      <c r="U70" s="1">
        <f>V2</f>
        <v>9.9999999999999991E-31</v>
      </c>
    </row>
    <row r="71" spans="1:21" x14ac:dyDescent="0.25">
      <c r="A71" s="1" t="s">
        <v>71</v>
      </c>
      <c r="C71" s="3">
        <v>-0.31622776602744102</v>
      </c>
      <c r="D71" s="3">
        <v>-0.316227766016837</v>
      </c>
      <c r="E71" s="3">
        <v>-0.31622776601684999</v>
      </c>
      <c r="G71" s="6">
        <v>-0.31622776600000002</v>
      </c>
      <c r="I71" s="1">
        <f t="shared" si="3"/>
        <v>2.7440993921601375E-11</v>
      </c>
      <c r="J71" s="1">
        <f t="shared" si="4"/>
        <v>1.6836976257650349E-11</v>
      </c>
      <c r="K71" s="1">
        <f t="shared" si="5"/>
        <v>1.6849965867038463E-11</v>
      </c>
      <c r="M71" s="6">
        <v>2</v>
      </c>
      <c r="O71" s="6">
        <v>24</v>
      </c>
      <c r="P71" s="6">
        <v>11</v>
      </c>
      <c r="Q71" s="6">
        <v>12</v>
      </c>
      <c r="S71" s="1">
        <v>2.7440993921601375E-11</v>
      </c>
      <c r="T71" s="1">
        <v>1.6836976257650349E-11</v>
      </c>
      <c r="U71" s="1">
        <v>1.6849965867038463E-11</v>
      </c>
    </row>
    <row r="72" spans="1:21" x14ac:dyDescent="0.25">
      <c r="A72" s="1" t="s">
        <v>72</v>
      </c>
      <c r="C72" s="3">
        <v>-0.92559042742214004</v>
      </c>
      <c r="D72" s="3">
        <v>-0.92559042742188702</v>
      </c>
      <c r="E72" s="3">
        <v>1.0676561793942299E-11</v>
      </c>
      <c r="G72" s="6">
        <v>-0.92559042739999997</v>
      </c>
      <c r="I72" s="1">
        <f t="shared" si="3"/>
        <v>2.2140067557074872E-11</v>
      </c>
      <c r="J72" s="1">
        <f t="shared" si="4"/>
        <v>2.1887047729762799E-11</v>
      </c>
      <c r="K72" s="1">
        <f t="shared" si="5"/>
        <v>0.92559042741067654</v>
      </c>
      <c r="M72" s="6">
        <v>1</v>
      </c>
      <c r="O72" s="6">
        <v>35</v>
      </c>
      <c r="P72" s="6">
        <v>21</v>
      </c>
      <c r="Q72" s="6">
        <v>23</v>
      </c>
      <c r="S72" s="1">
        <v>2.2140067557074872E-11</v>
      </c>
      <c r="T72" s="1">
        <v>2.1887047729762799E-11</v>
      </c>
      <c r="U72" s="1">
        <v>0.92559042741067654</v>
      </c>
    </row>
    <row r="73" spans="1:21" x14ac:dyDescent="0.25">
      <c r="A73" s="1" t="s">
        <v>73</v>
      </c>
      <c r="C73" s="3">
        <v>0.96620623710914444</v>
      </c>
      <c r="D73" s="3">
        <v>0.96620623711275155</v>
      </c>
      <c r="E73" s="3">
        <v>0.96620623711275155</v>
      </c>
      <c r="G73" s="6">
        <v>0.96620623709999998</v>
      </c>
      <c r="I73" s="1">
        <f t="shared" si="3"/>
        <v>9.1444629646275644E-12</v>
      </c>
      <c r="J73" s="1">
        <f t="shared" si="4"/>
        <v>1.2751577571634698E-11</v>
      </c>
      <c r="K73" s="1">
        <f t="shared" si="5"/>
        <v>1.2751577571634698E-11</v>
      </c>
      <c r="M73" s="6">
        <v>1</v>
      </c>
      <c r="O73" s="6">
        <v>39</v>
      </c>
      <c r="P73" s="6">
        <v>8</v>
      </c>
      <c r="Q73" s="6">
        <v>11</v>
      </c>
      <c r="S73" s="1">
        <v>9.1444629646275644E-12</v>
      </c>
      <c r="T73" s="1">
        <v>1.2751577571634698E-11</v>
      </c>
      <c r="U73" s="1">
        <v>1.2751577571634698E-11</v>
      </c>
    </row>
    <row r="74" spans="1:21" x14ac:dyDescent="0.25">
      <c r="A74" s="1" t="s">
        <v>74</v>
      </c>
      <c r="C74" s="3">
        <v>-1.16422427254292E-11</v>
      </c>
      <c r="D74" s="3">
        <v>-1.88417849490228E-25</v>
      </c>
      <c r="E74" s="3">
        <v>6.9549516834707299E-12</v>
      </c>
      <c r="G74" s="6">
        <v>0</v>
      </c>
      <c r="I74" s="1">
        <f t="shared" si="3"/>
        <v>1.16422427254292E-11</v>
      </c>
      <c r="J74" s="1">
        <f t="shared" si="4"/>
        <v>1.88417849490228E-25</v>
      </c>
      <c r="K74" s="1">
        <f t="shared" si="5"/>
        <v>6.9549516834707299E-12</v>
      </c>
      <c r="M74" s="6">
        <v>2</v>
      </c>
      <c r="O74" s="6">
        <v>30</v>
      </c>
      <c r="P74" s="6">
        <v>14</v>
      </c>
      <c r="Q74" s="6">
        <v>13</v>
      </c>
      <c r="S74" s="1">
        <v>1.16422427254292E-11</v>
      </c>
      <c r="T74" s="1">
        <v>1.88417849490228E-25</v>
      </c>
      <c r="U74" s="1">
        <v>6.9549516834707299E-12</v>
      </c>
    </row>
    <row r="75" spans="1:21" x14ac:dyDescent="0.25">
      <c r="A75" s="1" t="s">
        <v>75</v>
      </c>
      <c r="C75" s="3">
        <v>2.9096725029376103E-12</v>
      </c>
      <c r="D75" s="3">
        <v>-9.4663308626521417E-30</v>
      </c>
      <c r="E75" s="3">
        <v>8.2905001426761792E-16</v>
      </c>
      <c r="G75" s="6">
        <v>0</v>
      </c>
      <c r="I75" s="1">
        <f t="shared" si="3"/>
        <v>2.9096725029376103E-12</v>
      </c>
      <c r="J75" s="1">
        <f t="shared" si="4"/>
        <v>9.4663308626521417E-30</v>
      </c>
      <c r="K75" s="1">
        <f t="shared" si="5"/>
        <v>8.2905001426761792E-16</v>
      </c>
      <c r="M75" s="6">
        <v>1</v>
      </c>
      <c r="O75" s="6">
        <v>29</v>
      </c>
      <c r="P75" s="6">
        <v>5</v>
      </c>
      <c r="Q75" s="6">
        <v>5</v>
      </c>
      <c r="S75" s="1">
        <v>2.9096725029376103E-12</v>
      </c>
      <c r="T75" s="1">
        <v>9.4663308626521417E-30</v>
      </c>
      <c r="U75" s="1">
        <v>8.2905001426761792E-16</v>
      </c>
    </row>
    <row r="76" spans="1:21" x14ac:dyDescent="0.25">
      <c r="A76" s="1" t="s">
        <v>76</v>
      </c>
      <c r="C76" s="3">
        <v>-1.05409255339036</v>
      </c>
      <c r="D76" s="3">
        <v>-1.0540925533894501</v>
      </c>
      <c r="E76" s="3">
        <v>-5.0821976835258002E-20</v>
      </c>
      <c r="G76" s="6">
        <v>-1.054092553</v>
      </c>
      <c r="I76" s="1">
        <f t="shared" si="3"/>
        <v>3.9035996657332817E-10</v>
      </c>
      <c r="J76" s="1">
        <f t="shared" si="4"/>
        <v>3.8945002778234539E-10</v>
      </c>
      <c r="K76" s="1">
        <f t="shared" si="5"/>
        <v>1.054092553</v>
      </c>
      <c r="M76" s="6">
        <v>3</v>
      </c>
      <c r="O76" s="6">
        <v>36</v>
      </c>
      <c r="P76" s="6">
        <v>19</v>
      </c>
      <c r="Q76" s="6">
        <v>20</v>
      </c>
      <c r="S76" s="1">
        <v>3.9035996657332817E-10</v>
      </c>
      <c r="T76" s="1">
        <v>3.8945002778234539E-10</v>
      </c>
      <c r="U76" s="1">
        <v>1.054092553</v>
      </c>
    </row>
    <row r="77" spans="1:21" x14ac:dyDescent="0.25">
      <c r="A77" s="1" t="s">
        <v>77</v>
      </c>
      <c r="C77" s="3">
        <v>1.7475385416357305</v>
      </c>
      <c r="D77" s="3">
        <v>1.7475385416352018</v>
      </c>
      <c r="E77" s="3">
        <v>1.7475385416352069</v>
      </c>
      <c r="G77" s="6">
        <v>1.747538542</v>
      </c>
      <c r="I77" s="1">
        <f t="shared" si="3"/>
        <v>3.6426950345003206E-10</v>
      </c>
      <c r="J77" s="1">
        <f t="shared" si="4"/>
        <v>3.6479819165435856E-10</v>
      </c>
      <c r="K77" s="1">
        <f t="shared" si="5"/>
        <v>3.6479308462844529E-10</v>
      </c>
      <c r="M77" s="6">
        <v>1</v>
      </c>
      <c r="O77" s="6">
        <v>26</v>
      </c>
      <c r="P77" s="6">
        <v>5</v>
      </c>
      <c r="Q77" s="6">
        <v>6</v>
      </c>
      <c r="S77" s="1">
        <v>3.6426950345003206E-10</v>
      </c>
      <c r="T77" s="1">
        <v>3.6479819165435856E-10</v>
      </c>
      <c r="U77" s="1">
        <v>3.6479308462844529E-10</v>
      </c>
    </row>
    <row r="78" spans="1:21" x14ac:dyDescent="0.25">
      <c r="A78" s="1" t="s">
        <v>78</v>
      </c>
      <c r="C78" s="3">
        <v>-2.44948974279104</v>
      </c>
      <c r="D78" s="3">
        <v>-2.4494897427831699</v>
      </c>
      <c r="E78" s="3">
        <v>-2.4494897427831699</v>
      </c>
      <c r="G78" s="6">
        <f>-SQRT(6)</f>
        <v>-2.4494897427831779</v>
      </c>
      <c r="I78" s="1">
        <f t="shared" si="3"/>
        <v>7.8621553711855086E-12</v>
      </c>
      <c r="J78" s="1">
        <f t="shared" si="4"/>
        <v>7.9936057773011271E-15</v>
      </c>
      <c r="K78" s="1">
        <f t="shared" ref="K78" si="6">ABS(E78-G78)</f>
        <v>7.9936057773011271E-15</v>
      </c>
      <c r="M78" s="6">
        <v>2</v>
      </c>
      <c r="O78" s="6">
        <v>22</v>
      </c>
      <c r="P78" s="6">
        <v>10</v>
      </c>
      <c r="Q78" s="6">
        <v>10</v>
      </c>
      <c r="S78" s="1">
        <v>7.8621553711855086E-12</v>
      </c>
      <c r="T78" s="1">
        <v>7.9936057773011271E-15</v>
      </c>
      <c r="U78" s="1">
        <v>7.9936057773011271E-15</v>
      </c>
    </row>
  </sheetData>
  <pageMargins left="0.75" right="0.75" top="1" bottom="1" header="0.5" footer="0.5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5D506-4A02-4F7A-924A-B6474B065469}">
  <sheetPr codeName="Sheet3"/>
  <dimension ref="A1:V63"/>
  <sheetViews>
    <sheetView zoomScale="85" zoomScaleNormal="85" workbookViewId="0"/>
  </sheetViews>
  <sheetFormatPr defaultRowHeight="15" x14ac:dyDescent="0.25"/>
  <cols>
    <col min="1" max="1" width="31.5703125" style="1" customWidth="1"/>
    <col min="2" max="2" width="2.140625" style="4" customWidth="1"/>
    <col min="3" max="3" width="12.42578125" style="3" bestFit="1" customWidth="1"/>
    <col min="4" max="4" width="12.85546875" style="3" bestFit="1" customWidth="1"/>
    <col min="5" max="5" width="12.42578125" style="3" bestFit="1" customWidth="1"/>
    <col min="6" max="6" width="2.140625" style="2" customWidth="1"/>
    <col min="7" max="7" width="12.42578125" style="6" bestFit="1" customWidth="1"/>
    <col min="8" max="8" width="2.140625" style="4" customWidth="1"/>
    <col min="9" max="10" width="9.28515625" style="1" bestFit="1" customWidth="1"/>
    <col min="11" max="11" width="8.7109375" style="1" bestFit="1" customWidth="1"/>
    <col min="12" max="12" width="2.140625" style="4" customWidth="1"/>
    <col min="13" max="13" width="17.85546875" style="6" customWidth="1"/>
    <col min="14" max="14" width="2.140625" style="4" customWidth="1"/>
    <col min="15" max="17" width="8.7109375" style="6" bestFit="1" customWidth="1"/>
    <col min="18" max="18" width="2.140625" style="4" customWidth="1"/>
    <col min="19" max="20" width="9.28515625" style="1" bestFit="1" customWidth="1"/>
    <col min="21" max="21" width="8.7109375" style="1" bestFit="1" customWidth="1"/>
    <col min="22" max="22" width="55.140625" style="1" customWidth="1"/>
    <col min="23" max="16384" width="9.140625" style="1"/>
  </cols>
  <sheetData>
    <row r="1" spans="1:22" s="4" customFormat="1" x14ac:dyDescent="0.25">
      <c r="A1" s="4" t="s">
        <v>0</v>
      </c>
      <c r="C1" s="7" t="s">
        <v>2</v>
      </c>
      <c r="D1" s="7" t="s">
        <v>3</v>
      </c>
      <c r="E1" s="7" t="s">
        <v>4</v>
      </c>
      <c r="F1" s="2"/>
      <c r="G1" s="5" t="s">
        <v>82</v>
      </c>
      <c r="I1" s="4" t="s">
        <v>79</v>
      </c>
      <c r="J1" s="4" t="s">
        <v>80</v>
      </c>
      <c r="K1" s="4" t="s">
        <v>81</v>
      </c>
      <c r="M1" s="5" t="s">
        <v>1</v>
      </c>
      <c r="O1" s="5" t="s">
        <v>83</v>
      </c>
      <c r="P1" s="5" t="s">
        <v>84</v>
      </c>
      <c r="Q1" s="5" t="s">
        <v>85</v>
      </c>
      <c r="S1" s="4" t="s">
        <v>79</v>
      </c>
      <c r="T1" s="4" t="s">
        <v>80</v>
      </c>
      <c r="U1" s="4" t="s">
        <v>81</v>
      </c>
      <c r="V1" s="2" t="s">
        <v>86</v>
      </c>
    </row>
    <row r="2" spans="1:22" x14ac:dyDescent="0.25">
      <c r="A2" s="1" t="s">
        <v>5</v>
      </c>
      <c r="C2" s="3">
        <v>-0.59999999998835896</v>
      </c>
      <c r="D2" s="3">
        <v>-0.6</v>
      </c>
      <c r="E2" s="3">
        <v>-0.59999999999999898</v>
      </c>
      <c r="G2" s="3">
        <v>-0.6</v>
      </c>
      <c r="H2" s="2"/>
      <c r="I2" s="1">
        <f>ABS(C2-G2)</f>
        <v>1.1641021480102154E-11</v>
      </c>
      <c r="J2" s="1">
        <f>ABS(D2-G2)</f>
        <v>0</v>
      </c>
      <c r="K2" s="1">
        <f>ABS(E2-G2)</f>
        <v>9.9920072216264089E-16</v>
      </c>
      <c r="M2" s="6">
        <v>2</v>
      </c>
      <c r="O2" s="6">
        <v>30</v>
      </c>
      <c r="P2" s="6">
        <v>61</v>
      </c>
      <c r="Q2" s="6">
        <v>19</v>
      </c>
      <c r="S2" s="1">
        <v>1.1641021480102154E-11</v>
      </c>
      <c r="T2" s="1">
        <f>V2</f>
        <v>9.9999999999999991E-31</v>
      </c>
      <c r="U2" s="1">
        <v>9.9920072216264089E-16</v>
      </c>
      <c r="V2" s="1">
        <f>1*10^-30</f>
        <v>9.9999999999999991E-31</v>
      </c>
    </row>
    <row r="3" spans="1:22" x14ac:dyDescent="0.25">
      <c r="A3" s="1" t="s">
        <v>7</v>
      </c>
      <c r="C3" s="3">
        <v>-1.34164078649773</v>
      </c>
      <c r="D3" s="3">
        <v>-1.3416407864998701</v>
      </c>
      <c r="E3" s="3">
        <v>-1.3416407864998701</v>
      </c>
      <c r="G3" s="6">
        <f>-3*(SQRT(5))/5</f>
        <v>-1.3416407864998738</v>
      </c>
      <c r="I3" s="1">
        <f t="shared" ref="I3:I52" si="0">ABS(C3-G3)</f>
        <v>2.1438406605511773E-12</v>
      </c>
      <c r="J3" s="1">
        <f t="shared" ref="J3:J52" si="1">ABS(D3-G3)</f>
        <v>3.7747582837255322E-15</v>
      </c>
      <c r="K3" s="1">
        <f t="shared" ref="K3:K52" si="2">ABS(E3-G3)</f>
        <v>3.7747582837255322E-15</v>
      </c>
      <c r="M3" s="6">
        <v>2</v>
      </c>
      <c r="O3" s="6">
        <v>28</v>
      </c>
      <c r="P3" s="6">
        <v>12</v>
      </c>
      <c r="Q3" s="6">
        <v>11</v>
      </c>
      <c r="S3" s="1">
        <v>2.1438406605511773E-12</v>
      </c>
      <c r="T3" s="1">
        <v>3.7747582837255322E-15</v>
      </c>
      <c r="U3" s="1">
        <v>3.7747582837255322E-15</v>
      </c>
    </row>
    <row r="4" spans="1:22" x14ac:dyDescent="0.25">
      <c r="A4" s="1" t="s">
        <v>8</v>
      </c>
      <c r="C4" s="3">
        <v>-1.0646645064378299</v>
      </c>
      <c r="D4" s="3">
        <v>-1.0646645064337199</v>
      </c>
      <c r="E4" s="3">
        <v>-7.97566223134649E-16</v>
      </c>
      <c r="G4" s="6">
        <v>-1.064664506</v>
      </c>
      <c r="I4" s="1">
        <f t="shared" si="0"/>
        <v>4.3782999448183091E-10</v>
      </c>
      <c r="J4" s="1">
        <f t="shared" si="1"/>
        <v>4.3371994884466858E-10</v>
      </c>
      <c r="K4" s="1">
        <f t="shared" si="2"/>
        <v>1.0646645059999991</v>
      </c>
      <c r="M4" s="6">
        <v>2</v>
      </c>
      <c r="O4" s="6">
        <v>27</v>
      </c>
      <c r="P4" s="6">
        <v>11</v>
      </c>
      <c r="Q4" s="6">
        <v>12</v>
      </c>
      <c r="S4" s="1">
        <v>4.3782999448183091E-10</v>
      </c>
      <c r="T4" s="1">
        <v>4.3371994884466858E-10</v>
      </c>
      <c r="U4" s="1">
        <v>1.0646645059999991</v>
      </c>
    </row>
    <row r="5" spans="1:22" x14ac:dyDescent="0.25">
      <c r="A5" s="1" t="s">
        <v>9</v>
      </c>
      <c r="C5" s="3">
        <v>1.0000000000028999</v>
      </c>
      <c r="D5" s="3">
        <v>1</v>
      </c>
      <c r="E5" s="3">
        <v>0.999999999999999</v>
      </c>
      <c r="G5" s="3">
        <v>1</v>
      </c>
      <c r="I5" s="1">
        <f t="shared" si="0"/>
        <v>2.8999025403209089E-12</v>
      </c>
      <c r="J5" s="1">
        <f t="shared" si="1"/>
        <v>0</v>
      </c>
      <c r="K5" s="1">
        <f t="shared" si="2"/>
        <v>9.9920072216264089E-16</v>
      </c>
      <c r="M5" s="6">
        <v>2</v>
      </c>
      <c r="O5" s="6">
        <v>37</v>
      </c>
      <c r="P5" s="6">
        <v>13</v>
      </c>
      <c r="Q5" s="6">
        <v>14</v>
      </c>
      <c r="S5" s="1">
        <v>2.8999025403209089E-12</v>
      </c>
      <c r="T5" s="1">
        <f>V2</f>
        <v>9.9999999999999991E-31</v>
      </c>
      <c r="U5" s="1">
        <v>9.9920072216264089E-16</v>
      </c>
    </row>
    <row r="6" spans="1:22" x14ac:dyDescent="0.25">
      <c r="A6" s="1" t="s">
        <v>10</v>
      </c>
      <c r="C6" s="3">
        <v>1.88443731048318</v>
      </c>
      <c r="D6" s="3">
        <v>1.8844373104863399</v>
      </c>
      <c r="E6" s="3">
        <v>1.8844373104863399</v>
      </c>
      <c r="G6" s="3">
        <v>1.8844373104863399</v>
      </c>
      <c r="I6" s="1">
        <f t="shared" si="0"/>
        <v>3.1599167726881205E-12</v>
      </c>
      <c r="J6" s="1">
        <f t="shared" si="1"/>
        <v>0</v>
      </c>
      <c r="K6" s="1">
        <f t="shared" si="2"/>
        <v>0</v>
      </c>
      <c r="M6" s="6">
        <v>2</v>
      </c>
      <c r="O6" s="6">
        <v>35</v>
      </c>
      <c r="P6" s="6">
        <v>10</v>
      </c>
      <c r="Q6" s="6">
        <v>12</v>
      </c>
      <c r="S6" s="1">
        <v>3.1599167726881205E-12</v>
      </c>
      <c r="T6" s="1">
        <f>V2</f>
        <v>9.9999999999999991E-31</v>
      </c>
      <c r="U6" s="1">
        <f>V2</f>
        <v>9.9999999999999991E-31</v>
      </c>
    </row>
    <row r="7" spans="1:22" x14ac:dyDescent="0.25">
      <c r="A7" s="1" t="s">
        <v>11</v>
      </c>
      <c r="C7" s="3">
        <v>2.9096725029376099E-12</v>
      </c>
      <c r="D7" s="3">
        <v>-7.7245259839241404E-27</v>
      </c>
      <c r="E7" s="3">
        <v>2.0641875287231999E-17</v>
      </c>
      <c r="G7" s="6">
        <v>0</v>
      </c>
      <c r="I7" s="1">
        <f t="shared" si="0"/>
        <v>2.9096725029376099E-12</v>
      </c>
      <c r="J7" s="1">
        <f t="shared" si="1"/>
        <v>7.7245259839241404E-27</v>
      </c>
      <c r="K7" s="1">
        <f t="shared" si="2"/>
        <v>2.0641875287231999E-17</v>
      </c>
      <c r="M7" s="6">
        <v>1</v>
      </c>
      <c r="O7" s="6">
        <v>26</v>
      </c>
      <c r="P7" s="6">
        <v>5</v>
      </c>
      <c r="Q7" s="6">
        <v>7</v>
      </c>
      <c r="S7" s="1">
        <v>2.9096725029376099E-12</v>
      </c>
      <c r="T7" s="1">
        <v>7.7245259839241404E-27</v>
      </c>
      <c r="U7" s="1">
        <v>2.0641875287231999E-17</v>
      </c>
    </row>
    <row r="8" spans="1:22" x14ac:dyDescent="0.25">
      <c r="A8" s="1" t="s">
        <v>12</v>
      </c>
      <c r="C8" s="3">
        <v>0.94280904157785606</v>
      </c>
      <c r="D8" s="3">
        <v>0.94280904158206302</v>
      </c>
      <c r="E8" s="3">
        <v>0.94280904158188605</v>
      </c>
      <c r="G8" s="6">
        <v>0.94280904160000001</v>
      </c>
      <c r="I8" s="1">
        <f t="shared" si="0"/>
        <v>2.214395333766106E-11</v>
      </c>
      <c r="J8" s="1">
        <f t="shared" si="1"/>
        <v>1.7936985230448954E-11</v>
      </c>
      <c r="K8" s="1">
        <f t="shared" si="2"/>
        <v>1.8113954780574204E-11</v>
      </c>
      <c r="M8" s="6">
        <v>3</v>
      </c>
      <c r="O8" s="6">
        <v>25</v>
      </c>
      <c r="P8" s="6">
        <v>17</v>
      </c>
      <c r="Q8" s="6">
        <v>36</v>
      </c>
      <c r="S8" s="1">
        <v>2.214395333766106E-11</v>
      </c>
      <c r="T8" s="1">
        <v>1.7936985230448954E-11</v>
      </c>
      <c r="U8" s="1">
        <v>1.8113954780574204E-11</v>
      </c>
    </row>
    <row r="9" spans="1:22" x14ac:dyDescent="0.25">
      <c r="A9" s="1" t="s">
        <v>14</v>
      </c>
      <c r="C9" s="3">
        <v>-0.90139765006169903</v>
      </c>
      <c r="D9" s="3">
        <v>-0.90139765006041705</v>
      </c>
      <c r="E9" s="3">
        <v>-0.90139765006041805</v>
      </c>
      <c r="G9" s="6">
        <v>-0.90139765009999995</v>
      </c>
      <c r="I9" s="1">
        <f t="shared" si="0"/>
        <v>3.83009179927285E-11</v>
      </c>
      <c r="J9" s="1">
        <f t="shared" si="1"/>
        <v>3.9582892519263169E-11</v>
      </c>
      <c r="K9" s="1">
        <f t="shared" si="2"/>
        <v>3.9581893318541006E-11</v>
      </c>
      <c r="M9" s="6">
        <v>1</v>
      </c>
      <c r="O9" s="6">
        <v>29</v>
      </c>
      <c r="P9" s="6">
        <v>6</v>
      </c>
      <c r="Q9" s="6">
        <v>8</v>
      </c>
      <c r="S9" s="1">
        <v>3.83009179927285E-11</v>
      </c>
      <c r="T9" s="1">
        <v>3.9582892519263169E-11</v>
      </c>
      <c r="U9" s="1">
        <v>3.9581893318541006E-11</v>
      </c>
    </row>
    <row r="10" spans="1:22" x14ac:dyDescent="0.25">
      <c r="A10" s="1" t="s">
        <v>15</v>
      </c>
      <c r="C10" s="3">
        <v>1.0000000000028999</v>
      </c>
      <c r="D10" s="3">
        <v>1</v>
      </c>
      <c r="E10" s="3">
        <v>1.24538617266023</v>
      </c>
      <c r="G10" s="3">
        <v>1</v>
      </c>
      <c r="I10" s="1">
        <f t="shared" si="0"/>
        <v>2.8999025403209089E-12</v>
      </c>
      <c r="J10" s="1">
        <f t="shared" si="1"/>
        <v>0</v>
      </c>
      <c r="K10" s="1">
        <f t="shared" si="2"/>
        <v>0.24538617266023</v>
      </c>
      <c r="M10" s="6">
        <v>3</v>
      </c>
      <c r="O10" s="6">
        <v>30</v>
      </c>
      <c r="P10" s="6">
        <v>19</v>
      </c>
      <c r="Q10" s="6">
        <v>25</v>
      </c>
      <c r="S10" s="1">
        <v>2.8999025403209089E-12</v>
      </c>
      <c r="T10" s="1">
        <f>V2</f>
        <v>9.9999999999999991E-31</v>
      </c>
      <c r="U10" s="1">
        <v>0.24538617266023</v>
      </c>
      <c r="V10" s="6"/>
    </row>
    <row r="11" spans="1:22" x14ac:dyDescent="0.25">
      <c r="A11" s="1" t="s">
        <v>16</v>
      </c>
      <c r="C11" s="3">
        <v>-1.16422427254292E-11</v>
      </c>
      <c r="D11" s="3">
        <v>-1.88417849490228E-25</v>
      </c>
      <c r="E11" s="3">
        <v>6.9549516834707299E-12</v>
      </c>
      <c r="G11" s="3">
        <v>0</v>
      </c>
      <c r="I11" s="1">
        <f t="shared" si="0"/>
        <v>1.16422427254292E-11</v>
      </c>
      <c r="J11" s="1">
        <f t="shared" si="1"/>
        <v>1.88417849490228E-25</v>
      </c>
      <c r="K11" s="1">
        <f t="shared" si="2"/>
        <v>6.9549516834707299E-12</v>
      </c>
      <c r="M11" s="6">
        <v>2</v>
      </c>
      <c r="O11" s="6">
        <v>27</v>
      </c>
      <c r="P11" s="6">
        <v>14</v>
      </c>
      <c r="Q11" s="6">
        <v>13</v>
      </c>
      <c r="S11" s="1">
        <v>1.16422427254292E-11</v>
      </c>
      <c r="T11" s="1">
        <v>1.88417849490228E-25</v>
      </c>
      <c r="U11" s="1">
        <v>6.9549516834707299E-12</v>
      </c>
    </row>
    <row r="12" spans="1:22" x14ac:dyDescent="0.25">
      <c r="A12" s="1" t="s">
        <v>17</v>
      </c>
      <c r="C12" s="3">
        <v>-0.59092873356421505</v>
      </c>
      <c r="D12" s="3">
        <v>-0.590928733574555</v>
      </c>
      <c r="E12" s="3">
        <v>9.4867690092481602E-20</v>
      </c>
      <c r="G12" s="6">
        <v>-0.59092873359999998</v>
      </c>
      <c r="I12" s="1">
        <f t="shared" si="0"/>
        <v>3.5784930574322971E-11</v>
      </c>
      <c r="J12" s="1">
        <f t="shared" si="1"/>
        <v>2.5444979456779038E-11</v>
      </c>
      <c r="K12" s="1">
        <f t="shared" si="2"/>
        <v>0.59092873359999998</v>
      </c>
      <c r="M12" s="6">
        <v>2</v>
      </c>
      <c r="O12" s="6">
        <v>21</v>
      </c>
      <c r="P12" s="6">
        <v>13</v>
      </c>
      <c r="Q12" s="6">
        <v>13</v>
      </c>
      <c r="S12" s="1">
        <v>3.5784930574322971E-11</v>
      </c>
      <c r="T12" s="1">
        <v>2.5444979456779038E-11</v>
      </c>
      <c r="U12" s="1">
        <v>0.59092873359999998</v>
      </c>
    </row>
    <row r="13" spans="1:22" x14ac:dyDescent="0.25">
      <c r="A13" s="1" t="s">
        <v>19</v>
      </c>
      <c r="C13" s="3">
        <v>-1.7252803962663099</v>
      </c>
      <c r="D13" s="3">
        <v>-1.7252803962686301</v>
      </c>
      <c r="E13" s="3">
        <v>-1.7252803962668499</v>
      </c>
      <c r="G13" s="3">
        <v>-1.7252803962668499</v>
      </c>
      <c r="I13" s="1">
        <f t="shared" si="0"/>
        <v>5.4001247917767614E-13</v>
      </c>
      <c r="J13" s="1">
        <f t="shared" si="1"/>
        <v>1.780131597683976E-12</v>
      </c>
      <c r="K13" s="1">
        <f t="shared" si="2"/>
        <v>0</v>
      </c>
      <c r="M13" s="6">
        <v>1</v>
      </c>
      <c r="O13" s="6">
        <v>36</v>
      </c>
      <c r="P13" s="6">
        <v>6</v>
      </c>
      <c r="Q13" s="6">
        <v>7</v>
      </c>
      <c r="S13" s="1">
        <v>5.4001247917767614E-13</v>
      </c>
      <c r="T13" s="1">
        <v>1.780131597683976E-12</v>
      </c>
      <c r="U13" s="1">
        <f>V2</f>
        <v>9.9999999999999991E-31</v>
      </c>
    </row>
    <row r="14" spans="1:22" x14ac:dyDescent="0.25">
      <c r="A14" s="1" t="s">
        <v>20</v>
      </c>
      <c r="C14" s="3">
        <v>-1.41421356236678</v>
      </c>
      <c r="D14" s="3">
        <v>-1.41421356237309</v>
      </c>
      <c r="E14" s="3">
        <v>-1.41421356237311</v>
      </c>
      <c r="G14" s="6">
        <f>-SQRT(2)</f>
        <v>-1.4142135623730951</v>
      </c>
      <c r="I14" s="1">
        <f t="shared" si="0"/>
        <v>6.3151706086728154E-12</v>
      </c>
      <c r="J14" s="1">
        <f t="shared" si="1"/>
        <v>5.1070259132757201E-15</v>
      </c>
      <c r="K14" s="1">
        <f t="shared" si="2"/>
        <v>1.4876988529977098E-14</v>
      </c>
      <c r="M14" s="6">
        <v>2</v>
      </c>
      <c r="O14" s="6">
        <v>29</v>
      </c>
      <c r="P14" s="6">
        <v>12</v>
      </c>
      <c r="Q14" s="6">
        <v>11</v>
      </c>
      <c r="S14" s="1">
        <v>6.3151706086728154E-12</v>
      </c>
      <c r="T14" s="1">
        <v>5.1070259132757201E-15</v>
      </c>
      <c r="U14" s="1">
        <v>1.4876988529977098E-14</v>
      </c>
    </row>
    <row r="15" spans="1:22" x14ac:dyDescent="0.25">
      <c r="A15" s="1" t="s">
        <v>21</v>
      </c>
      <c r="C15" s="3">
        <v>0.81649658092937805</v>
      </c>
      <c r="D15" s="3">
        <v>0.81649658092772603</v>
      </c>
      <c r="E15" s="3">
        <v>0.81649658092772603</v>
      </c>
      <c r="G15" s="6">
        <f>(SQRT(6))/3</f>
        <v>0.81649658092772592</v>
      </c>
      <c r="I15" s="1">
        <f t="shared" si="0"/>
        <v>1.6521228829446954E-12</v>
      </c>
      <c r="J15" s="1">
        <f t="shared" si="1"/>
        <v>1.1102230246251565E-16</v>
      </c>
      <c r="K15" s="1">
        <f t="shared" si="2"/>
        <v>1.1102230246251565E-16</v>
      </c>
      <c r="M15" s="6">
        <v>2</v>
      </c>
      <c r="O15" s="6">
        <v>26</v>
      </c>
      <c r="P15" s="6">
        <v>13</v>
      </c>
      <c r="Q15" s="6">
        <v>22</v>
      </c>
      <c r="S15" s="1">
        <v>1.6521228829446954E-12</v>
      </c>
      <c r="T15" s="1">
        <v>1.1102230246251565E-16</v>
      </c>
      <c r="U15" s="1">
        <v>1.1102230246251565E-16</v>
      </c>
    </row>
    <row r="16" spans="1:22" x14ac:dyDescent="0.25">
      <c r="A16" s="1" t="s">
        <v>22</v>
      </c>
      <c r="C16" s="3">
        <v>-0.83333333332557302</v>
      </c>
      <c r="D16" s="3">
        <v>-0.83333333333333304</v>
      </c>
      <c r="E16" s="3">
        <v>-3.4277776086372598E-6</v>
      </c>
      <c r="G16" s="6">
        <f>-5/6</f>
        <v>-0.83333333333333337</v>
      </c>
      <c r="I16" s="1">
        <f t="shared" si="0"/>
        <v>7.7603479198273817E-12</v>
      </c>
      <c r="J16" s="1">
        <f t="shared" si="1"/>
        <v>3.3306690738754696E-16</v>
      </c>
      <c r="K16" s="1">
        <f t="shared" si="2"/>
        <v>0.83332990555572473</v>
      </c>
      <c r="M16" s="6">
        <v>2</v>
      </c>
      <c r="O16" s="6">
        <v>37</v>
      </c>
      <c r="P16" s="6">
        <v>7</v>
      </c>
      <c r="Q16" s="6">
        <v>23</v>
      </c>
      <c r="S16" s="1">
        <v>7.7603479198273817E-12</v>
      </c>
      <c r="T16" s="1">
        <v>3.3306690738754696E-16</v>
      </c>
      <c r="U16" s="1">
        <v>0.83332990555572473</v>
      </c>
    </row>
    <row r="17" spans="1:21" x14ac:dyDescent="0.25">
      <c r="A17" s="1" t="s">
        <v>23</v>
      </c>
      <c r="C17" s="3">
        <v>8.9999999999992699</v>
      </c>
      <c r="D17" s="3">
        <v>9</v>
      </c>
      <c r="E17" s="3">
        <v>8.99999999999892</v>
      </c>
      <c r="G17" s="6">
        <v>9</v>
      </c>
      <c r="I17" s="1">
        <f t="shared" si="0"/>
        <v>7.3008266099350294E-13</v>
      </c>
      <c r="J17" s="1">
        <f t="shared" si="1"/>
        <v>0</v>
      </c>
      <c r="K17" s="1">
        <f t="shared" si="2"/>
        <v>1.0800249583553523E-12</v>
      </c>
      <c r="M17" s="6">
        <v>2</v>
      </c>
      <c r="O17" s="6">
        <v>28</v>
      </c>
      <c r="P17" s="6">
        <v>5</v>
      </c>
      <c r="Q17" s="6">
        <v>5</v>
      </c>
      <c r="S17" s="1">
        <v>7.3008266099350294E-13</v>
      </c>
      <c r="T17" s="1">
        <f>V2</f>
        <v>9.9999999999999991E-31</v>
      </c>
      <c r="U17" s="1">
        <v>1.0800249583553523E-12</v>
      </c>
    </row>
    <row r="18" spans="1:21" x14ac:dyDescent="0.25">
      <c r="A18" s="1" t="s">
        <v>24</v>
      </c>
      <c r="C18" s="3">
        <v>-1.6119137628236699</v>
      </c>
      <c r="D18" s="3">
        <v>-1.6119137628211899</v>
      </c>
      <c r="E18" s="3">
        <v>-1.61191376282109</v>
      </c>
      <c r="G18" s="6">
        <v>-1.611913763</v>
      </c>
      <c r="I18" s="1">
        <f t="shared" si="0"/>
        <v>1.7633006166306586E-10</v>
      </c>
      <c r="J18" s="1">
        <f t="shared" si="1"/>
        <v>1.7881007785547354E-10</v>
      </c>
      <c r="K18" s="1">
        <f t="shared" si="2"/>
        <v>1.789099979276898E-10</v>
      </c>
      <c r="M18" s="6">
        <v>1</v>
      </c>
      <c r="O18" s="6">
        <v>38</v>
      </c>
      <c r="P18" s="6">
        <v>8</v>
      </c>
      <c r="Q18" s="6">
        <v>10</v>
      </c>
      <c r="S18" s="1">
        <v>1.7633006166306586E-10</v>
      </c>
      <c r="T18" s="1">
        <v>1.7881007785547354E-10</v>
      </c>
      <c r="U18" s="1">
        <v>1.789099979276898E-10</v>
      </c>
    </row>
    <row r="19" spans="1:21" x14ac:dyDescent="0.25">
      <c r="A19" s="1" t="s">
        <v>25</v>
      </c>
      <c r="C19" s="3">
        <v>-0.99999999999708999</v>
      </c>
      <c r="D19" s="3">
        <v>-1</v>
      </c>
      <c r="E19" s="3">
        <v>0.372922798618605</v>
      </c>
      <c r="G19" s="3">
        <v>-1</v>
      </c>
      <c r="I19" s="1">
        <f t="shared" si="0"/>
        <v>2.9100055698449978E-12</v>
      </c>
      <c r="J19" s="1">
        <f t="shared" si="1"/>
        <v>0</v>
      </c>
      <c r="K19" s="1">
        <f t="shared" si="2"/>
        <v>1.372922798618605</v>
      </c>
      <c r="M19" s="6">
        <v>2</v>
      </c>
      <c r="O19" s="6">
        <v>30</v>
      </c>
      <c r="P19" s="6">
        <v>12</v>
      </c>
      <c r="Q19" s="6">
        <v>16</v>
      </c>
      <c r="S19" s="1">
        <v>2.9100055698449978E-12</v>
      </c>
      <c r="T19" s="1">
        <f>V2</f>
        <v>9.9999999999999991E-31</v>
      </c>
      <c r="U19" s="1">
        <v>1.372922798618605</v>
      </c>
    </row>
    <row r="20" spans="1:21" x14ac:dyDescent="0.25">
      <c r="A20" s="1" t="s">
        <v>26</v>
      </c>
      <c r="C20" s="3">
        <v>-0.59999999998835896</v>
      </c>
      <c r="D20" s="3">
        <v>-0.6</v>
      </c>
      <c r="E20" s="3">
        <v>-0.59999999999999898</v>
      </c>
      <c r="G20" s="3">
        <v>-0.6</v>
      </c>
      <c r="I20" s="1">
        <f t="shared" si="0"/>
        <v>1.1641021480102154E-11</v>
      </c>
      <c r="J20" s="1">
        <f t="shared" si="1"/>
        <v>0</v>
      </c>
      <c r="K20" s="1">
        <f t="shared" si="2"/>
        <v>9.9920072216264089E-16</v>
      </c>
      <c r="M20" s="6">
        <v>2</v>
      </c>
      <c r="O20" s="6">
        <v>32</v>
      </c>
      <c r="P20" s="6">
        <v>61</v>
      </c>
      <c r="Q20" s="6">
        <v>19</v>
      </c>
      <c r="S20" s="1">
        <v>1.1641021480102154E-11</v>
      </c>
      <c r="T20" s="1">
        <f>V2</f>
        <v>9.9999999999999991E-31</v>
      </c>
      <c r="U20" s="1">
        <v>9.9920072216264089E-16</v>
      </c>
    </row>
    <row r="21" spans="1:21" x14ac:dyDescent="0.25">
      <c r="A21" s="1" t="s">
        <v>27</v>
      </c>
      <c r="C21" s="3">
        <v>0.61185831848997496</v>
      </c>
      <c r="D21" s="3">
        <v>0.61185831850120698</v>
      </c>
      <c r="E21" s="3">
        <v>0.61185831850120753</v>
      </c>
      <c r="G21" s="6">
        <v>0.61185831850000005</v>
      </c>
      <c r="I21" s="1">
        <f t="shared" si="0"/>
        <v>1.0025091867760239E-11</v>
      </c>
      <c r="J21" s="1">
        <f t="shared" si="1"/>
        <v>1.2069234500700077E-12</v>
      </c>
      <c r="K21" s="1">
        <f t="shared" si="2"/>
        <v>1.2074785615823203E-12</v>
      </c>
      <c r="M21" s="6">
        <v>1</v>
      </c>
      <c r="O21" s="6">
        <v>37</v>
      </c>
      <c r="P21" s="6">
        <v>10</v>
      </c>
      <c r="Q21" s="6">
        <v>8</v>
      </c>
      <c r="S21" s="1">
        <v>1.0025091867760239E-11</v>
      </c>
      <c r="T21" s="1">
        <v>1.2069234500700077E-12</v>
      </c>
      <c r="U21" s="1">
        <v>1.2074785615823203E-12</v>
      </c>
    </row>
    <row r="22" spans="1:21" x14ac:dyDescent="0.25">
      <c r="A22" s="1" t="s">
        <v>28</v>
      </c>
      <c r="C22" s="3">
        <v>-0.42195444572717</v>
      </c>
      <c r="D22" s="3">
        <v>-0.42195444572928797</v>
      </c>
      <c r="E22" s="3">
        <v>-0.42195444573336499</v>
      </c>
      <c r="G22" s="6">
        <v>-0.42195444570000001</v>
      </c>
      <c r="I22" s="1">
        <f t="shared" si="0"/>
        <v>2.7169988481290375E-11</v>
      </c>
      <c r="J22" s="1">
        <f t="shared" si="1"/>
        <v>2.9287960945367786E-11</v>
      </c>
      <c r="K22" s="1">
        <f t="shared" si="2"/>
        <v>3.3364977447547517E-11</v>
      </c>
      <c r="M22" s="6">
        <v>2</v>
      </c>
      <c r="O22" s="6">
        <v>23</v>
      </c>
      <c r="P22" s="6">
        <v>13</v>
      </c>
      <c r="Q22" s="6">
        <v>11</v>
      </c>
      <c r="S22" s="1">
        <v>2.7169988481290375E-11</v>
      </c>
      <c r="T22" s="1">
        <v>2.9287960945367786E-11</v>
      </c>
      <c r="U22" s="1">
        <v>3.3364977447547517E-11</v>
      </c>
    </row>
    <row r="23" spans="1:21" x14ac:dyDescent="0.25">
      <c r="A23" s="1" t="s">
        <v>30</v>
      </c>
      <c r="C23" s="3">
        <v>-9.8076211358421206E-2</v>
      </c>
      <c r="D23" s="3">
        <v>-9.8076211353315901E-2</v>
      </c>
      <c r="E23" s="3">
        <v>-9.8076211353763307E-2</v>
      </c>
      <c r="G23" s="6">
        <v>-9.8076211349999998E-2</v>
      </c>
      <c r="I23" s="1">
        <f t="shared" si="0"/>
        <v>8.4212081752355061E-12</v>
      </c>
      <c r="J23" s="1">
        <f t="shared" si="1"/>
        <v>3.315903107647955E-12</v>
      </c>
      <c r="K23" s="1">
        <f t="shared" si="2"/>
        <v>3.7633091087840853E-12</v>
      </c>
      <c r="M23" s="6">
        <v>2</v>
      </c>
      <c r="O23" s="6">
        <v>39</v>
      </c>
      <c r="P23" s="6">
        <v>10</v>
      </c>
      <c r="Q23" s="6">
        <v>10</v>
      </c>
      <c r="S23" s="1">
        <v>8.4212081752355061E-12</v>
      </c>
      <c r="T23" s="1">
        <v>3.315903107647955E-12</v>
      </c>
      <c r="U23" s="1">
        <v>3.7633091087840853E-12</v>
      </c>
    </row>
    <row r="24" spans="1:21" x14ac:dyDescent="0.25">
      <c r="A24" s="1" t="s">
        <v>32</v>
      </c>
      <c r="C24" s="3">
        <v>-3.1622776601696301</v>
      </c>
      <c r="D24" s="3">
        <v>-3.1622776601683702</v>
      </c>
      <c r="E24" s="3">
        <v>-3.1622776601683902</v>
      </c>
      <c r="G24" s="6">
        <v>-3.16227766</v>
      </c>
      <c r="I24" s="1">
        <f t="shared" si="0"/>
        <v>1.6963008775405797E-10</v>
      </c>
      <c r="J24" s="1">
        <f t="shared" si="1"/>
        <v>1.6837020666571334E-10</v>
      </c>
      <c r="K24" s="1">
        <f t="shared" si="2"/>
        <v>1.6839019068015659E-10</v>
      </c>
      <c r="M24" s="6">
        <v>2</v>
      </c>
      <c r="O24" s="6">
        <v>30</v>
      </c>
      <c r="P24" s="6">
        <v>9</v>
      </c>
      <c r="Q24" s="6">
        <v>10</v>
      </c>
      <c r="S24" s="1">
        <v>1.6963008775405797E-10</v>
      </c>
      <c r="T24" s="1">
        <v>1.6837020666571334E-10</v>
      </c>
      <c r="U24" s="1">
        <v>1.6839019068015659E-10</v>
      </c>
    </row>
    <row r="25" spans="1:21" x14ac:dyDescent="0.25">
      <c r="A25" s="1" t="s">
        <v>33</v>
      </c>
      <c r="C25" s="3">
        <v>-0.71982395800005206</v>
      </c>
      <c r="D25" s="3">
        <v>-0.71982395800070997</v>
      </c>
      <c r="E25" s="3">
        <v>-0.71982395800065502</v>
      </c>
      <c r="G25" s="6">
        <v>-0.71982395799999999</v>
      </c>
      <c r="I25" s="1">
        <f t="shared" si="0"/>
        <v>5.2069459854919842E-14</v>
      </c>
      <c r="J25" s="1">
        <f t="shared" si="1"/>
        <v>7.0998762424778761E-13</v>
      </c>
      <c r="K25" s="1">
        <f t="shared" si="2"/>
        <v>6.5503158452884236E-13</v>
      </c>
      <c r="M25" s="6">
        <v>0</v>
      </c>
      <c r="O25" s="6">
        <v>21</v>
      </c>
      <c r="P25" s="6">
        <v>16</v>
      </c>
      <c r="Q25" s="6">
        <v>19</v>
      </c>
      <c r="S25" s="1">
        <v>5.2069459854919842E-14</v>
      </c>
      <c r="T25" s="1">
        <v>7.0998762424778761E-13</v>
      </c>
      <c r="U25" s="1">
        <v>6.5503158452884236E-13</v>
      </c>
    </row>
    <row r="26" spans="1:21" x14ac:dyDescent="0.25">
      <c r="A26" s="1" t="s">
        <v>34</v>
      </c>
      <c r="C26" s="3">
        <v>-1.2247448713867899</v>
      </c>
      <c r="D26" s="3">
        <v>-1.2247448713915801</v>
      </c>
      <c r="E26" s="3">
        <v>-1.2247448713915801</v>
      </c>
      <c r="G26" s="6">
        <v>-1.224744871</v>
      </c>
      <c r="I26" s="1">
        <f t="shared" si="0"/>
        <v>3.8678993341534351E-10</v>
      </c>
      <c r="J26" s="1">
        <f t="shared" si="1"/>
        <v>3.9158010167739121E-10</v>
      </c>
      <c r="K26" s="1">
        <f t="shared" si="2"/>
        <v>3.9158010167739121E-10</v>
      </c>
      <c r="M26" s="6">
        <v>2</v>
      </c>
      <c r="O26" s="6">
        <v>27</v>
      </c>
      <c r="P26" s="6">
        <v>10</v>
      </c>
      <c r="Q26" s="6">
        <v>12</v>
      </c>
      <c r="S26" s="1">
        <v>3.8678993341534351E-10</v>
      </c>
      <c r="T26" s="1">
        <v>3.9158010167739121E-10</v>
      </c>
      <c r="U26" s="1">
        <v>3.9158010167739121E-10</v>
      </c>
    </row>
    <row r="27" spans="1:21" x14ac:dyDescent="0.25">
      <c r="A27" s="1" t="s">
        <v>35</v>
      </c>
      <c r="C27" s="3">
        <v>-1.16422427254292E-11</v>
      </c>
      <c r="D27" s="3">
        <v>0</v>
      </c>
      <c r="E27" s="3">
        <v>1.0009007511690901E-12</v>
      </c>
      <c r="G27" s="6">
        <v>0</v>
      </c>
      <c r="I27" s="1">
        <f t="shared" si="0"/>
        <v>1.16422427254292E-11</v>
      </c>
      <c r="J27" s="1">
        <f t="shared" si="1"/>
        <v>0</v>
      </c>
      <c r="K27" s="1">
        <f t="shared" si="2"/>
        <v>1.0009007511690901E-12</v>
      </c>
      <c r="M27" s="6">
        <v>1</v>
      </c>
      <c r="O27" s="6">
        <v>36</v>
      </c>
      <c r="P27" s="6">
        <v>4</v>
      </c>
      <c r="Q27" s="6">
        <v>4</v>
      </c>
      <c r="S27" s="1">
        <v>1.16422427254292E-11</v>
      </c>
      <c r="T27" s="1">
        <f>V2</f>
        <v>9.9999999999999991E-31</v>
      </c>
      <c r="U27" s="1">
        <v>1.0009007511690901E-12</v>
      </c>
    </row>
    <row r="28" spans="1:21" x14ac:dyDescent="0.25">
      <c r="A28" s="1" t="s">
        <v>36</v>
      </c>
      <c r="C28" s="3">
        <v>-1.02857203589956</v>
      </c>
      <c r="D28" s="3">
        <v>-1.0285720358983299</v>
      </c>
      <c r="E28" s="3">
        <v>-1.0285720358983299</v>
      </c>
      <c r="G28" s="6">
        <v>-1.0285720359999999</v>
      </c>
      <c r="I28" s="1">
        <f t="shared" si="0"/>
        <v>1.0043987863639359E-10</v>
      </c>
      <c r="J28" s="1">
        <f t="shared" si="1"/>
        <v>1.0167000574767826E-10</v>
      </c>
      <c r="K28" s="1">
        <f t="shared" si="2"/>
        <v>1.0167000574767826E-10</v>
      </c>
      <c r="M28" s="6">
        <v>1</v>
      </c>
      <c r="O28" s="6">
        <v>22</v>
      </c>
      <c r="P28" s="6">
        <v>6</v>
      </c>
      <c r="Q28" s="6">
        <v>27</v>
      </c>
      <c r="S28" s="1">
        <v>1.0043987863639359E-10</v>
      </c>
      <c r="T28" s="1">
        <v>1.0167000574767826E-10</v>
      </c>
      <c r="U28" s="1">
        <v>1.0167000574767826E-10</v>
      </c>
    </row>
    <row r="29" spans="1:21" x14ac:dyDescent="0.25">
      <c r="A29" s="1" t="s">
        <v>37</v>
      </c>
      <c r="C29" s="3">
        <v>-1.16422427254292E-11</v>
      </c>
      <c r="D29" s="3">
        <v>0</v>
      </c>
      <c r="E29" s="3">
        <v>-1.79824471285838E-13</v>
      </c>
      <c r="G29" s="6">
        <v>0</v>
      </c>
      <c r="I29" s="1">
        <f t="shared" si="0"/>
        <v>1.16422427254292E-11</v>
      </c>
      <c r="J29" s="1">
        <f t="shared" si="1"/>
        <v>0</v>
      </c>
      <c r="K29" s="1">
        <f t="shared" si="2"/>
        <v>1.79824471285838E-13</v>
      </c>
      <c r="M29" s="6">
        <v>2</v>
      </c>
      <c r="O29" s="6">
        <v>29</v>
      </c>
      <c r="P29" s="6">
        <v>10</v>
      </c>
      <c r="Q29" s="6">
        <v>16</v>
      </c>
      <c r="S29" s="1">
        <v>1.16422427254292E-11</v>
      </c>
      <c r="T29" s="1">
        <f>V2</f>
        <v>9.9999999999999991E-31</v>
      </c>
      <c r="U29" s="1">
        <v>1.79824471285838E-13</v>
      </c>
    </row>
    <row r="30" spans="1:21" x14ac:dyDescent="0.25">
      <c r="A30" s="1" t="s">
        <v>39</v>
      </c>
      <c r="C30" s="3">
        <v>1.3333333333313899</v>
      </c>
      <c r="D30" s="3">
        <v>-1.3327353822837399E-6</v>
      </c>
      <c r="E30" s="3">
        <v>1.3333333333331501</v>
      </c>
      <c r="G30" s="6">
        <v>1.3333333333333299</v>
      </c>
      <c r="I30" s="1">
        <f t="shared" si="0"/>
        <v>1.9400037132299985E-12</v>
      </c>
      <c r="J30" s="1">
        <f t="shared" si="1"/>
        <v>1.3333346660687122</v>
      </c>
      <c r="K30" s="1">
        <f t="shared" si="2"/>
        <v>1.7985612998927536E-13</v>
      </c>
      <c r="M30" s="6">
        <v>2</v>
      </c>
      <c r="O30" s="6">
        <v>31</v>
      </c>
      <c r="P30" s="6">
        <v>17</v>
      </c>
      <c r="Q30" s="6">
        <v>10</v>
      </c>
      <c r="S30" s="1">
        <v>1.9400037132299985E-12</v>
      </c>
      <c r="T30" s="1">
        <v>1.3333346660687122</v>
      </c>
      <c r="U30" s="1">
        <v>1.7985612998927536E-13</v>
      </c>
    </row>
    <row r="31" spans="1:21" x14ac:dyDescent="0.25">
      <c r="A31" s="1" t="s">
        <v>41</v>
      </c>
      <c r="C31" s="3">
        <v>2.7087585639994298</v>
      </c>
      <c r="D31" s="3">
        <v>2.7087585639996048</v>
      </c>
      <c r="E31" s="3">
        <v>2.7087585639996044</v>
      </c>
      <c r="G31" s="6">
        <v>2.708758564</v>
      </c>
      <c r="I31" s="1">
        <f t="shared" si="0"/>
        <v>5.702105454474804E-13</v>
      </c>
      <c r="J31" s="1">
        <f t="shared" si="1"/>
        <v>3.9523939676655573E-13</v>
      </c>
      <c r="K31" s="1">
        <f t="shared" si="2"/>
        <v>3.9568348597640579E-13</v>
      </c>
      <c r="M31" s="6">
        <v>1</v>
      </c>
      <c r="O31" s="6">
        <v>23</v>
      </c>
      <c r="P31" s="6">
        <v>4</v>
      </c>
      <c r="Q31" s="6">
        <v>6</v>
      </c>
      <c r="S31" s="1">
        <v>5.702105454474804E-13</v>
      </c>
      <c r="T31" s="1">
        <v>3.9523939676655573E-13</v>
      </c>
      <c r="U31" s="1">
        <v>3.9568348597640579E-13</v>
      </c>
    </row>
    <row r="32" spans="1:21" x14ac:dyDescent="0.25">
      <c r="A32" s="1" t="s">
        <v>43</v>
      </c>
      <c r="C32" s="3">
        <v>-1.6529543813674501</v>
      </c>
      <c r="D32" s="3">
        <v>-1.6529543813681493</v>
      </c>
      <c r="E32" s="3">
        <v>-1.6529543813671956</v>
      </c>
      <c r="G32" s="6">
        <v>-1.652954381</v>
      </c>
      <c r="I32" s="1">
        <f t="shared" si="0"/>
        <v>3.6745007037097821E-10</v>
      </c>
      <c r="J32" s="1">
        <f t="shared" si="1"/>
        <v>3.6814928883188713E-10</v>
      </c>
      <c r="K32" s="1">
        <f t="shared" si="2"/>
        <v>3.6719560725373412E-10</v>
      </c>
      <c r="M32" s="6">
        <v>1</v>
      </c>
      <c r="O32" s="6">
        <v>32</v>
      </c>
      <c r="P32" s="6">
        <v>8</v>
      </c>
      <c r="Q32" s="6">
        <v>12</v>
      </c>
      <c r="S32" s="1">
        <v>3.6745007037097821E-10</v>
      </c>
      <c r="T32" s="1">
        <v>3.6814928883188713E-10</v>
      </c>
      <c r="U32" s="1">
        <v>3.6719560725373412E-10</v>
      </c>
    </row>
    <row r="33" spans="1:21" x14ac:dyDescent="0.25">
      <c r="A33" s="1" t="s">
        <v>44</v>
      </c>
      <c r="C33" s="3">
        <v>2.9096725029376103E-12</v>
      </c>
      <c r="D33" s="3">
        <v>-2.2088105346188331E-29</v>
      </c>
      <c r="E33" s="3">
        <v>9.0503691644932757E-16</v>
      </c>
      <c r="G33" s="6">
        <v>0</v>
      </c>
      <c r="I33" s="1">
        <f t="shared" si="0"/>
        <v>2.9096725029376103E-12</v>
      </c>
      <c r="J33" s="1">
        <f t="shared" si="1"/>
        <v>2.2088105346188331E-29</v>
      </c>
      <c r="K33" s="1">
        <f t="shared" si="2"/>
        <v>9.0503691644932757E-16</v>
      </c>
      <c r="M33" s="6">
        <v>1</v>
      </c>
      <c r="O33" s="6">
        <v>20</v>
      </c>
      <c r="P33" s="6">
        <v>5</v>
      </c>
      <c r="Q33" s="6">
        <v>6</v>
      </c>
      <c r="S33" s="1">
        <v>2.9096725029376103E-12</v>
      </c>
      <c r="T33" s="1">
        <v>2.2088105346188331E-29</v>
      </c>
      <c r="U33" s="1">
        <v>9.0503691644932757E-16</v>
      </c>
    </row>
    <row r="34" spans="1:21" x14ac:dyDescent="0.25">
      <c r="A34" s="1" t="s">
        <v>26</v>
      </c>
      <c r="C34" s="3">
        <v>-0.59999999998835896</v>
      </c>
      <c r="D34" s="3">
        <v>-0.6</v>
      </c>
      <c r="E34" s="3">
        <v>-0.59999999999999898</v>
      </c>
      <c r="G34" s="6">
        <v>-0.6</v>
      </c>
      <c r="I34" s="1">
        <f t="shared" si="0"/>
        <v>1.1641021480102154E-11</v>
      </c>
      <c r="J34" s="1">
        <f t="shared" si="1"/>
        <v>0</v>
      </c>
      <c r="K34" s="1">
        <f t="shared" si="2"/>
        <v>9.9920072216264089E-16</v>
      </c>
      <c r="M34" s="6">
        <v>2</v>
      </c>
      <c r="O34" s="6">
        <v>26</v>
      </c>
      <c r="P34" s="6">
        <v>61</v>
      </c>
      <c r="Q34" s="6">
        <v>19</v>
      </c>
      <c r="S34" s="1">
        <v>1.1641021480102154E-11</v>
      </c>
      <c r="T34" s="1">
        <f>V2</f>
        <v>9.9999999999999991E-31</v>
      </c>
      <c r="U34" s="1">
        <v>9.9920072216264089E-16</v>
      </c>
    </row>
    <row r="35" spans="1:21" x14ac:dyDescent="0.25">
      <c r="A35" s="1" t="s">
        <v>45</v>
      </c>
      <c r="C35" s="3">
        <v>-0.57142857143189796</v>
      </c>
      <c r="D35" s="3">
        <v>-0.57142857142857095</v>
      </c>
      <c r="E35" s="3">
        <v>-0.57142857142857095</v>
      </c>
      <c r="G35" s="6">
        <v>-0.5714285714285714</v>
      </c>
      <c r="I35" s="1">
        <f t="shared" si="0"/>
        <v>3.3265612486843565E-12</v>
      </c>
      <c r="J35" s="1">
        <f t="shared" si="1"/>
        <v>4.4408920985006262E-16</v>
      </c>
      <c r="K35" s="1">
        <f t="shared" si="2"/>
        <v>4.4408920985006262E-16</v>
      </c>
      <c r="M35" s="6">
        <v>3</v>
      </c>
      <c r="O35" s="6">
        <v>27</v>
      </c>
      <c r="P35" s="6">
        <v>25</v>
      </c>
      <c r="Q35" s="6">
        <v>26</v>
      </c>
      <c r="S35" s="1">
        <v>3.3265612486843565E-12</v>
      </c>
      <c r="T35" s="1">
        <v>4.4408920985006262E-16</v>
      </c>
      <c r="U35" s="1">
        <v>4.4408920985006262E-16</v>
      </c>
    </row>
    <row r="36" spans="1:21" x14ac:dyDescent="0.25">
      <c r="A36" s="1" t="s">
        <v>46</v>
      </c>
      <c r="C36" s="3">
        <v>-2.50000000001164</v>
      </c>
      <c r="D36" s="3">
        <v>-2.5</v>
      </c>
      <c r="E36" s="3">
        <v>-2.5</v>
      </c>
      <c r="G36" s="6">
        <v>-2.5</v>
      </c>
      <c r="I36" s="1">
        <f t="shared" si="0"/>
        <v>1.1640022279379991E-11</v>
      </c>
      <c r="J36" s="1">
        <f t="shared" si="1"/>
        <v>0</v>
      </c>
      <c r="K36" s="1">
        <f t="shared" si="2"/>
        <v>0</v>
      </c>
      <c r="M36" s="6">
        <v>1</v>
      </c>
      <c r="O36" s="6">
        <v>29</v>
      </c>
      <c r="P36" s="6">
        <v>2</v>
      </c>
      <c r="Q36" s="6">
        <v>1</v>
      </c>
      <c r="S36" s="1">
        <v>1.1640022279379991E-11</v>
      </c>
      <c r="T36" s="1">
        <f>V2</f>
        <v>9.9999999999999991E-31</v>
      </c>
      <c r="U36" s="1">
        <f>V2</f>
        <v>9.9999999999999991E-31</v>
      </c>
    </row>
    <row r="37" spans="1:21" x14ac:dyDescent="0.25">
      <c r="A37" s="1" t="s">
        <v>47</v>
      </c>
      <c r="C37" s="3">
        <v>-1.9999999999970901</v>
      </c>
      <c r="D37" s="3">
        <v>-2</v>
      </c>
      <c r="E37" s="3">
        <v>-2</v>
      </c>
      <c r="G37" s="6">
        <v>-2</v>
      </c>
      <c r="I37" s="1">
        <f t="shared" si="0"/>
        <v>2.9098945475425353E-12</v>
      </c>
      <c r="J37" s="1">
        <f t="shared" si="1"/>
        <v>0</v>
      </c>
      <c r="K37" s="1">
        <f t="shared" si="2"/>
        <v>0</v>
      </c>
      <c r="M37" s="6">
        <v>2</v>
      </c>
      <c r="O37" s="6">
        <v>28</v>
      </c>
      <c r="P37" s="6">
        <v>10</v>
      </c>
      <c r="Q37" s="6">
        <v>13</v>
      </c>
      <c r="S37" s="1">
        <v>2.9098945475425353E-12</v>
      </c>
      <c r="T37" s="1">
        <f>V2</f>
        <v>9.9999999999999991E-31</v>
      </c>
      <c r="U37" s="1">
        <f>V2</f>
        <v>9.9999999999999991E-31</v>
      </c>
    </row>
    <row r="38" spans="1:21" x14ac:dyDescent="0.25">
      <c r="A38" s="1" t="s">
        <v>48</v>
      </c>
      <c r="C38" s="3">
        <v>1.2137339999999999E-9</v>
      </c>
      <c r="D38" s="3">
        <v>-4.5234848814251297E-6</v>
      </c>
      <c r="E38" s="3">
        <v>-8.1618428642369405E-6</v>
      </c>
      <c r="G38" s="6">
        <v>0</v>
      </c>
      <c r="I38" s="1">
        <f t="shared" si="0"/>
        <v>1.2137339999999999E-9</v>
      </c>
      <c r="J38" s="1">
        <f t="shared" si="1"/>
        <v>4.5234848814251297E-6</v>
      </c>
      <c r="K38" s="1">
        <f t="shared" si="2"/>
        <v>8.1618428642369405E-6</v>
      </c>
      <c r="M38" s="6">
        <v>2</v>
      </c>
      <c r="O38" s="6">
        <v>31</v>
      </c>
      <c r="P38" s="6">
        <v>17</v>
      </c>
      <c r="Q38" s="6">
        <v>22</v>
      </c>
      <c r="S38" s="1">
        <v>1.2137339999999999E-9</v>
      </c>
      <c r="T38" s="1">
        <v>4.5234848814251297E-6</v>
      </c>
      <c r="U38" s="1">
        <v>8.1618428642369405E-6</v>
      </c>
    </row>
    <row r="39" spans="1:21" x14ac:dyDescent="0.25">
      <c r="A39" s="1" t="s">
        <v>49</v>
      </c>
      <c r="C39" s="3">
        <v>-1.20900771839369</v>
      </c>
      <c r="D39" s="3">
        <v>-1.2090077183966601</v>
      </c>
      <c r="E39" s="3">
        <v>-1.2090077183966601</v>
      </c>
      <c r="G39" s="6">
        <v>-1.2090077180000001</v>
      </c>
      <c r="I39" s="1">
        <f t="shared" si="0"/>
        <v>3.9368996951338886E-10</v>
      </c>
      <c r="J39" s="1">
        <f t="shared" si="1"/>
        <v>3.9666003814886608E-10</v>
      </c>
      <c r="K39" s="1">
        <f t="shared" si="2"/>
        <v>3.9666003814886608E-10</v>
      </c>
      <c r="M39" s="6">
        <v>1</v>
      </c>
      <c r="O39" s="6">
        <v>28</v>
      </c>
      <c r="P39" s="6">
        <v>5</v>
      </c>
      <c r="Q39" s="6">
        <v>9</v>
      </c>
      <c r="S39" s="1">
        <v>3.9368996951338886E-10</v>
      </c>
      <c r="T39" s="1">
        <v>3.9666003814886608E-10</v>
      </c>
      <c r="U39" s="1">
        <v>3.9666003814886608E-10</v>
      </c>
    </row>
    <row r="40" spans="1:21" x14ac:dyDescent="0.25">
      <c r="A40" s="1" t="s">
        <v>51</v>
      </c>
      <c r="C40" s="3">
        <v>-1.1428571428521499</v>
      </c>
      <c r="D40" s="3">
        <v>-1.1428571428571399</v>
      </c>
      <c r="E40" s="3">
        <v>-2.9647912831619601E-6</v>
      </c>
      <c r="G40" s="6">
        <v>-1.1428571428571428</v>
      </c>
      <c r="I40" s="1">
        <f t="shared" si="0"/>
        <v>4.992894986344254E-12</v>
      </c>
      <c r="J40" s="1">
        <f t="shared" si="1"/>
        <v>2.886579864025407E-15</v>
      </c>
      <c r="K40" s="1">
        <f t="shared" si="2"/>
        <v>1.1428541780658596</v>
      </c>
      <c r="M40" s="6">
        <v>2</v>
      </c>
      <c r="O40" s="6">
        <v>32</v>
      </c>
      <c r="P40" s="6">
        <v>6</v>
      </c>
      <c r="Q40" s="6">
        <v>24</v>
      </c>
      <c r="S40" s="1">
        <v>4.992894986344254E-12</v>
      </c>
      <c r="T40" s="1">
        <v>2.886579864025407E-15</v>
      </c>
      <c r="U40" s="1">
        <v>1.1428541780658596</v>
      </c>
    </row>
    <row r="41" spans="1:21" x14ac:dyDescent="0.25">
      <c r="A41" s="1" t="s">
        <v>52</v>
      </c>
      <c r="C41" s="3">
        <v>-1.9531250000071E-4</v>
      </c>
      <c r="D41" s="3">
        <v>-1.3888874304544599E-4</v>
      </c>
      <c r="E41" s="3">
        <v>-2.3693459403903501E-4</v>
      </c>
      <c r="G41" s="6">
        <v>0</v>
      </c>
      <c r="I41" s="1">
        <f t="shared" si="0"/>
        <v>1.9531250000071E-4</v>
      </c>
      <c r="J41" s="1">
        <f t="shared" si="1"/>
        <v>1.3888874304544599E-4</v>
      </c>
      <c r="K41" s="1">
        <f t="shared" si="2"/>
        <v>2.3693459403903501E-4</v>
      </c>
      <c r="M41" s="6">
        <v>1</v>
      </c>
      <c r="O41" s="6">
        <v>38</v>
      </c>
      <c r="P41" s="6">
        <v>19</v>
      </c>
      <c r="Q41" s="6">
        <v>26</v>
      </c>
      <c r="S41" s="1">
        <v>1.9531250000071E-4</v>
      </c>
      <c r="T41" s="1">
        <v>1.3888874304544599E-4</v>
      </c>
      <c r="U41" s="1">
        <v>2.3693459403903501E-4</v>
      </c>
    </row>
    <row r="42" spans="1:21" x14ac:dyDescent="0.25">
      <c r="A42" s="1" t="s">
        <v>53</v>
      </c>
      <c r="C42" s="3">
        <v>-0.83333333332557302</v>
      </c>
      <c r="D42" s="3">
        <v>-0.83333333333333304</v>
      </c>
      <c r="E42" s="3">
        <v>-0.83333333333333304</v>
      </c>
      <c r="G42" s="6">
        <v>-0.83333333333333337</v>
      </c>
      <c r="I42" s="1">
        <f t="shared" si="0"/>
        <v>7.7603479198273817E-12</v>
      </c>
      <c r="J42" s="1">
        <f t="shared" si="1"/>
        <v>3.3306690738754696E-16</v>
      </c>
      <c r="K42" s="1">
        <f t="shared" si="2"/>
        <v>3.3306690738754696E-16</v>
      </c>
      <c r="M42" s="6">
        <v>2</v>
      </c>
      <c r="O42" s="6">
        <v>20</v>
      </c>
      <c r="P42" s="6">
        <v>13</v>
      </c>
      <c r="Q42" s="6">
        <v>22</v>
      </c>
      <c r="S42" s="1">
        <v>7.7603479198273817E-12</v>
      </c>
      <c r="T42" s="1">
        <v>3.3306690738754696E-16</v>
      </c>
      <c r="U42" s="1">
        <v>3.3306690738754696E-16</v>
      </c>
    </row>
    <row r="43" spans="1:21" x14ac:dyDescent="0.25">
      <c r="A43" s="1" t="s">
        <v>54</v>
      </c>
      <c r="C43" s="3">
        <v>-1.3242816602476499</v>
      </c>
      <c r="D43" s="3">
        <v>-1.3242816602507099</v>
      </c>
      <c r="E43" s="3">
        <v>-1.3242816602507099</v>
      </c>
      <c r="G43" s="6">
        <v>-1.32428166</v>
      </c>
      <c r="I43" s="1">
        <f t="shared" si="0"/>
        <v>2.4764990058656622E-10</v>
      </c>
      <c r="J43" s="1">
        <f t="shared" si="1"/>
        <v>2.5070989728703807E-10</v>
      </c>
      <c r="K43" s="1">
        <f t="shared" si="2"/>
        <v>2.5070989728703807E-10</v>
      </c>
      <c r="M43" s="6">
        <v>2</v>
      </c>
      <c r="O43" s="6">
        <v>35</v>
      </c>
      <c r="P43" s="6">
        <v>13</v>
      </c>
      <c r="Q43" s="6">
        <v>11</v>
      </c>
      <c r="S43" s="1">
        <v>2.4764990058656622E-10</v>
      </c>
      <c r="T43" s="1">
        <v>2.5070989728703807E-10</v>
      </c>
      <c r="U43" s="1">
        <v>2.5070989728703807E-10</v>
      </c>
    </row>
    <row r="44" spans="1:21" x14ac:dyDescent="0.25">
      <c r="A44" s="1" t="s">
        <v>55</v>
      </c>
      <c r="C44" s="3">
        <v>-1.9403926636630699</v>
      </c>
      <c r="D44" s="3">
        <v>-1.9403926636606701</v>
      </c>
      <c r="E44" s="3">
        <v>-1.9403926636606701</v>
      </c>
      <c r="G44" s="6">
        <v>-1.940392664</v>
      </c>
      <c r="I44" s="1">
        <f t="shared" si="0"/>
        <v>3.3693003942403266E-10</v>
      </c>
      <c r="J44" s="1">
        <f t="shared" si="1"/>
        <v>3.393298975140624E-10</v>
      </c>
      <c r="K44" s="1">
        <f t="shared" si="2"/>
        <v>3.393298975140624E-10</v>
      </c>
      <c r="M44" s="6">
        <v>2</v>
      </c>
      <c r="O44" s="6">
        <v>32</v>
      </c>
      <c r="P44" s="6">
        <v>22</v>
      </c>
      <c r="Q44" s="6">
        <v>15</v>
      </c>
      <c r="S44" s="1">
        <v>3.3693003942403266E-10</v>
      </c>
      <c r="T44" s="1">
        <v>3.393298975140624E-10</v>
      </c>
      <c r="U44" s="1">
        <v>3.393298975140624E-10</v>
      </c>
    </row>
    <row r="45" spans="1:21" x14ac:dyDescent="0.25">
      <c r="A45" s="1" t="s">
        <v>56</v>
      </c>
      <c r="C45" s="3">
        <v>-1.25000000001164</v>
      </c>
      <c r="D45" s="3">
        <v>-1.24999999999999</v>
      </c>
      <c r="E45" s="3">
        <v>-1.25000000000025</v>
      </c>
      <c r="G45" s="6">
        <v>-1.25</v>
      </c>
      <c r="I45" s="1">
        <f t="shared" si="0"/>
        <v>1.1640022279379991E-11</v>
      </c>
      <c r="J45" s="1">
        <f t="shared" si="1"/>
        <v>9.9920072216264089E-15</v>
      </c>
      <c r="K45" s="1">
        <f t="shared" si="2"/>
        <v>2.5002222514558525E-13</v>
      </c>
      <c r="M45" s="6">
        <v>2</v>
      </c>
      <c r="O45" s="6">
        <v>24</v>
      </c>
      <c r="P45" s="6">
        <v>10</v>
      </c>
      <c r="Q45" s="6">
        <v>15</v>
      </c>
      <c r="S45" s="1">
        <v>1.1640022279379991E-11</v>
      </c>
      <c r="T45" s="1">
        <v>9.9920072216264089E-15</v>
      </c>
      <c r="U45" s="1">
        <v>2.5002222514558525E-13</v>
      </c>
    </row>
    <row r="46" spans="1:21" x14ac:dyDescent="0.25">
      <c r="A46" s="1" t="s">
        <v>60</v>
      </c>
      <c r="C46" s="3">
        <v>-2.7778117035439198</v>
      </c>
      <c r="D46" s="3">
        <v>-2.7778117035441099</v>
      </c>
      <c r="E46" s="3">
        <v>-2.7778117035441099</v>
      </c>
      <c r="G46" s="6">
        <v>-2.7778117039999999</v>
      </c>
      <c r="I46" s="1">
        <f t="shared" si="0"/>
        <v>4.5608006260522416E-10</v>
      </c>
      <c r="J46" s="1">
        <f t="shared" si="1"/>
        <v>4.5588999242340833E-10</v>
      </c>
      <c r="K46" s="1">
        <f t="shared" si="2"/>
        <v>4.5588999242340833E-10</v>
      </c>
      <c r="M46" s="6">
        <v>2</v>
      </c>
      <c r="O46" s="6">
        <v>21</v>
      </c>
      <c r="P46" s="6">
        <v>11</v>
      </c>
      <c r="Q46" s="6">
        <v>15</v>
      </c>
      <c r="S46" s="1">
        <v>4.5608006260522416E-10</v>
      </c>
      <c r="T46" s="1">
        <v>4.5588999242340833E-10</v>
      </c>
      <c r="U46" s="1">
        <v>4.5588999242340833E-10</v>
      </c>
    </row>
    <row r="47" spans="1:21" x14ac:dyDescent="0.25">
      <c r="A47" s="1" t="s">
        <v>62</v>
      </c>
      <c r="C47" s="3">
        <v>0.88090411047887685</v>
      </c>
      <c r="D47" s="3">
        <v>0.88090411047717332</v>
      </c>
      <c r="E47" s="3">
        <v>0.88090411047534212</v>
      </c>
      <c r="G47" s="6">
        <v>0.88090411049999995</v>
      </c>
      <c r="I47" s="1">
        <f t="shared" si="0"/>
        <v>2.1123103266518228E-11</v>
      </c>
      <c r="J47" s="1">
        <f t="shared" si="1"/>
        <v>2.2826629475503069E-11</v>
      </c>
      <c r="K47" s="1">
        <f t="shared" si="2"/>
        <v>2.4657831332319802E-11</v>
      </c>
      <c r="M47" s="6">
        <v>1</v>
      </c>
      <c r="O47" s="6">
        <v>20</v>
      </c>
      <c r="P47" s="6">
        <v>6</v>
      </c>
      <c r="Q47" s="6">
        <v>8</v>
      </c>
      <c r="S47" s="1">
        <v>2.1123103266518228E-11</v>
      </c>
      <c r="T47" s="1">
        <v>2.2826629475503069E-11</v>
      </c>
      <c r="U47" s="1">
        <v>2.4657831332319802E-11</v>
      </c>
    </row>
    <row r="48" spans="1:21" x14ac:dyDescent="0.25">
      <c r="A48" s="1" t="s">
        <v>63</v>
      </c>
      <c r="C48" s="3">
        <v>-0.59607163797481988</v>
      </c>
      <c r="D48" s="3">
        <v>-0.59607163798332152</v>
      </c>
      <c r="E48" s="3">
        <v>-0.5960716379833213</v>
      </c>
      <c r="G48" s="6">
        <v>-0.59607163799999996</v>
      </c>
      <c r="I48" s="1">
        <f t="shared" si="0"/>
        <v>2.5180080243103475E-11</v>
      </c>
      <c r="J48" s="1">
        <f t="shared" si="1"/>
        <v>1.6678436409733877E-11</v>
      </c>
      <c r="K48" s="1">
        <f t="shared" si="2"/>
        <v>1.6678658454338802E-11</v>
      </c>
      <c r="M48" s="6">
        <v>1</v>
      </c>
      <c r="O48" s="6">
        <v>36</v>
      </c>
      <c r="P48" s="6">
        <v>6</v>
      </c>
      <c r="Q48" s="6">
        <v>6</v>
      </c>
      <c r="S48" s="1">
        <v>2.5180080243103475E-11</v>
      </c>
      <c r="T48" s="1">
        <v>1.6678436409733877E-11</v>
      </c>
      <c r="U48" s="1">
        <v>1.6678658454338802E-11</v>
      </c>
    </row>
    <row r="49" spans="1:21" x14ac:dyDescent="0.25">
      <c r="A49" s="1" t="s">
        <v>64</v>
      </c>
      <c r="C49" s="3">
        <v>-1.9999999999970903</v>
      </c>
      <c r="D49" s="3">
        <v>-1.9999999999999998</v>
      </c>
      <c r="E49" s="3">
        <v>-1.9999999999999711</v>
      </c>
      <c r="G49" s="6">
        <v>-2</v>
      </c>
      <c r="I49" s="1">
        <f t="shared" si="0"/>
        <v>2.9096725029376103E-12</v>
      </c>
      <c r="J49" s="1">
        <f t="shared" si="1"/>
        <v>2.2204460492503131E-16</v>
      </c>
      <c r="K49" s="1">
        <f t="shared" si="2"/>
        <v>2.886579864025407E-14</v>
      </c>
      <c r="M49" s="6">
        <v>2</v>
      </c>
      <c r="O49" s="6">
        <v>35</v>
      </c>
      <c r="P49" s="6">
        <v>6</v>
      </c>
      <c r="Q49" s="6">
        <v>9</v>
      </c>
      <c r="S49" s="1">
        <v>2.9096725029376103E-12</v>
      </c>
      <c r="T49" s="1">
        <v>2.2204460492503131E-16</v>
      </c>
      <c r="U49" s="1">
        <v>2.886579864025407E-14</v>
      </c>
    </row>
    <row r="50" spans="1:21" x14ac:dyDescent="0.25">
      <c r="A50" s="1" t="s">
        <v>65</v>
      </c>
      <c r="C50" s="3">
        <v>-1.16422427254292E-11</v>
      </c>
      <c r="D50" s="3">
        <v>0</v>
      </c>
      <c r="E50" s="3">
        <v>0.88888888887906004</v>
      </c>
      <c r="G50" s="6">
        <v>0</v>
      </c>
      <c r="I50" s="1">
        <f t="shared" si="0"/>
        <v>1.16422427254292E-11</v>
      </c>
      <c r="J50" s="1">
        <f t="shared" si="1"/>
        <v>0</v>
      </c>
      <c r="K50" s="1">
        <f t="shared" si="2"/>
        <v>0.88888888887906004</v>
      </c>
      <c r="M50" s="6">
        <v>2</v>
      </c>
      <c r="O50" s="6">
        <v>38</v>
      </c>
      <c r="P50" s="6">
        <v>12</v>
      </c>
      <c r="Q50" s="6">
        <v>16</v>
      </c>
      <c r="S50" s="1">
        <v>1.16422427254292E-11</v>
      </c>
      <c r="T50" s="1">
        <f>V2</f>
        <v>9.9999999999999991E-31</v>
      </c>
      <c r="U50" s="1">
        <v>0.88888888887906004</v>
      </c>
    </row>
    <row r="51" spans="1:21" x14ac:dyDescent="0.25">
      <c r="A51" s="1" t="s">
        <v>66</v>
      </c>
      <c r="C51" s="3">
        <v>2.0000000000029097</v>
      </c>
      <c r="D51" s="3">
        <v>2</v>
      </c>
      <c r="E51" s="3">
        <v>1.9999999999997491</v>
      </c>
      <c r="G51" s="6">
        <v>2</v>
      </c>
      <c r="I51" s="1">
        <f t="shared" si="0"/>
        <v>2.9096725029376103E-12</v>
      </c>
      <c r="J51" s="1">
        <f t="shared" si="1"/>
        <v>0</v>
      </c>
      <c r="K51" s="1">
        <f t="shared" si="2"/>
        <v>2.5091040356528538E-13</v>
      </c>
      <c r="M51" s="6">
        <v>2</v>
      </c>
      <c r="O51" s="6">
        <v>34</v>
      </c>
      <c r="P51" s="6">
        <v>6</v>
      </c>
      <c r="Q51" s="6">
        <v>7</v>
      </c>
      <c r="S51" s="1">
        <v>2.9096725029376103E-12</v>
      </c>
      <c r="T51" s="1">
        <f>V2</f>
        <v>9.9999999999999991E-31</v>
      </c>
      <c r="U51" s="1">
        <v>2.5091040356528538E-13</v>
      </c>
    </row>
    <row r="52" spans="1:21" x14ac:dyDescent="0.25">
      <c r="A52" s="1" t="s">
        <v>67</v>
      </c>
      <c r="C52" s="3">
        <v>2.4999999999992717</v>
      </c>
      <c r="D52" s="3">
        <v>1.2385792753165387E-3</v>
      </c>
      <c r="E52" s="3">
        <v>2.5000000000000004</v>
      </c>
      <c r="G52" s="6">
        <v>2.5</v>
      </c>
      <c r="I52" s="1">
        <f t="shared" si="0"/>
        <v>7.2830630415410269E-13</v>
      </c>
      <c r="J52" s="1">
        <f t="shared" si="1"/>
        <v>2.4987614207246835</v>
      </c>
      <c r="K52" s="1">
        <f t="shared" si="2"/>
        <v>4.4408920985006262E-16</v>
      </c>
      <c r="M52" s="6">
        <v>2</v>
      </c>
      <c r="O52" s="6">
        <v>30</v>
      </c>
      <c r="P52" s="6">
        <v>23</v>
      </c>
      <c r="Q52" s="6">
        <v>10</v>
      </c>
      <c r="S52" s="1">
        <v>7.2830630415410269E-13</v>
      </c>
      <c r="T52" s="1">
        <v>2.4987614207246835</v>
      </c>
      <c r="U52" s="1">
        <v>4.4408920985006262E-16</v>
      </c>
    </row>
    <row r="53" spans="1:21" x14ac:dyDescent="0.25">
      <c r="A53" s="1" t="s">
        <v>68</v>
      </c>
      <c r="C53" s="3">
        <v>-0.79370052598533203</v>
      </c>
      <c r="D53" s="3">
        <v>-0.79370052598409901</v>
      </c>
      <c r="E53" s="3">
        <v>1.5740474895720101E-11</v>
      </c>
      <c r="G53" s="6">
        <v>-0.79370052599999996</v>
      </c>
      <c r="I53" s="1">
        <f t="shared" ref="I53:I63" si="3">ABS(C53-G53)</f>
        <v>1.4667933534440181E-11</v>
      </c>
      <c r="J53" s="1">
        <f t="shared" ref="J53:J63" si="4">ABS(D53-G53)</f>
        <v>1.590094722558888E-11</v>
      </c>
      <c r="K53" s="1">
        <f t="shared" ref="K53:K63" si="5">ABS(E53-G53)</f>
        <v>0.79370052601574048</v>
      </c>
      <c r="M53" s="6">
        <v>2</v>
      </c>
      <c r="O53" s="6">
        <v>25</v>
      </c>
      <c r="P53" s="6">
        <v>11</v>
      </c>
      <c r="Q53" s="6">
        <v>10</v>
      </c>
      <c r="S53" s="1">
        <v>1.4667933534440181E-11</v>
      </c>
      <c r="T53" s="1">
        <v>1.590094722558888E-11</v>
      </c>
      <c r="U53" s="1">
        <v>0.79370052601574048</v>
      </c>
    </row>
    <row r="54" spans="1:21" x14ac:dyDescent="0.25">
      <c r="A54" s="1" t="s">
        <v>69</v>
      </c>
      <c r="C54" s="3">
        <v>-0.7453559925023</v>
      </c>
      <c r="D54" s="3">
        <v>-0.74535599249992901</v>
      </c>
      <c r="E54" s="3">
        <v>-0.74086222867742002</v>
      </c>
      <c r="G54" s="6">
        <v>-0.74535599249999995</v>
      </c>
      <c r="I54" s="1">
        <f t="shared" si="3"/>
        <v>2.3000490401159368E-12</v>
      </c>
      <c r="J54" s="1">
        <f t="shared" si="4"/>
        <v>7.0943251273547503E-14</v>
      </c>
      <c r="K54" s="1">
        <f t="shared" si="5"/>
        <v>4.4937638225799326E-3</v>
      </c>
      <c r="M54" s="6">
        <v>3</v>
      </c>
      <c r="O54" s="6">
        <v>32</v>
      </c>
      <c r="P54" s="6">
        <v>17</v>
      </c>
      <c r="Q54" s="6">
        <v>21</v>
      </c>
      <c r="S54" s="1">
        <v>2.3000490401159368E-12</v>
      </c>
      <c r="T54" s="1">
        <v>7.0943251273547503E-14</v>
      </c>
      <c r="U54" s="1">
        <v>4.4937638225799326E-3</v>
      </c>
    </row>
    <row r="55" spans="1:21" x14ac:dyDescent="0.25">
      <c r="A55" s="1" t="s">
        <v>70</v>
      </c>
      <c r="C55" s="3">
        <v>-1.00000000001164</v>
      </c>
      <c r="D55" s="3">
        <v>-1</v>
      </c>
      <c r="E55" s="3">
        <v>-1</v>
      </c>
      <c r="G55" s="6">
        <v>-1</v>
      </c>
      <c r="I55" s="1">
        <f t="shared" si="3"/>
        <v>1.1640022279379991E-11</v>
      </c>
      <c r="J55" s="1">
        <f t="shared" si="4"/>
        <v>0</v>
      </c>
      <c r="K55" s="1">
        <f t="shared" si="5"/>
        <v>0</v>
      </c>
      <c r="M55" s="6">
        <v>2</v>
      </c>
      <c r="O55" s="6">
        <v>26</v>
      </c>
      <c r="P55" s="6">
        <v>12</v>
      </c>
      <c r="Q55" s="6">
        <v>21</v>
      </c>
      <c r="S55" s="1">
        <v>1.1640022279379991E-11</v>
      </c>
      <c r="T55" s="1">
        <f>V2</f>
        <v>9.9999999999999991E-31</v>
      </c>
      <c r="U55" s="1">
        <f>V2</f>
        <v>9.9999999999999991E-31</v>
      </c>
    </row>
    <row r="56" spans="1:21" x14ac:dyDescent="0.25">
      <c r="A56" s="1" t="s">
        <v>71</v>
      </c>
      <c r="C56" s="3">
        <v>-0.31622776602744102</v>
      </c>
      <c r="D56" s="3">
        <v>-0.316227766016837</v>
      </c>
      <c r="E56" s="3">
        <v>-0.31622776601684999</v>
      </c>
      <c r="G56" s="6">
        <v>-0.31622776600000002</v>
      </c>
      <c r="I56" s="1">
        <f t="shared" si="3"/>
        <v>2.7440993921601375E-11</v>
      </c>
      <c r="J56" s="1">
        <f t="shared" si="4"/>
        <v>1.6836976257650349E-11</v>
      </c>
      <c r="K56" s="1">
        <f t="shared" si="5"/>
        <v>1.6849965867038463E-11</v>
      </c>
      <c r="M56" s="6">
        <v>2</v>
      </c>
      <c r="O56" s="6">
        <v>24</v>
      </c>
      <c r="P56" s="6">
        <v>11</v>
      </c>
      <c r="Q56" s="6">
        <v>12</v>
      </c>
      <c r="S56" s="1">
        <v>2.7440993921601375E-11</v>
      </c>
      <c r="T56" s="1">
        <v>1.6836976257650349E-11</v>
      </c>
      <c r="U56" s="1">
        <v>1.6849965867038463E-11</v>
      </c>
    </row>
    <row r="57" spans="1:21" x14ac:dyDescent="0.25">
      <c r="A57" s="1" t="s">
        <v>72</v>
      </c>
      <c r="C57" s="3">
        <v>-0.92559042742214004</v>
      </c>
      <c r="D57" s="3">
        <v>-0.92559042742188702</v>
      </c>
      <c r="E57" s="3">
        <v>1.0676561793942299E-11</v>
      </c>
      <c r="G57" s="6">
        <v>-0.92559042739999997</v>
      </c>
      <c r="I57" s="1">
        <f t="shared" si="3"/>
        <v>2.2140067557074872E-11</v>
      </c>
      <c r="J57" s="1">
        <f t="shared" si="4"/>
        <v>2.1887047729762799E-11</v>
      </c>
      <c r="K57" s="1">
        <f t="shared" si="5"/>
        <v>0.92559042741067654</v>
      </c>
      <c r="M57" s="6">
        <v>1</v>
      </c>
      <c r="O57" s="6">
        <v>35</v>
      </c>
      <c r="P57" s="6">
        <v>21</v>
      </c>
      <c r="Q57" s="6">
        <v>23</v>
      </c>
      <c r="S57" s="1">
        <v>2.2140067557074872E-11</v>
      </c>
      <c r="T57" s="1">
        <v>2.1887047729762799E-11</v>
      </c>
      <c r="U57" s="1">
        <v>0.92559042741067654</v>
      </c>
    </row>
    <row r="58" spans="1:21" x14ac:dyDescent="0.25">
      <c r="A58" s="1" t="s">
        <v>73</v>
      </c>
      <c r="C58" s="3">
        <v>0.96620623710914444</v>
      </c>
      <c r="D58" s="3">
        <v>0.96620623711275155</v>
      </c>
      <c r="E58" s="3">
        <v>0.96620623711275155</v>
      </c>
      <c r="G58" s="6">
        <v>0.96620623709999998</v>
      </c>
      <c r="I58" s="1">
        <f t="shared" si="3"/>
        <v>9.1444629646275644E-12</v>
      </c>
      <c r="J58" s="1">
        <f t="shared" si="4"/>
        <v>1.2751577571634698E-11</v>
      </c>
      <c r="K58" s="1">
        <f t="shared" si="5"/>
        <v>1.2751577571634698E-11</v>
      </c>
      <c r="M58" s="6">
        <v>1</v>
      </c>
      <c r="O58" s="6">
        <v>39</v>
      </c>
      <c r="P58" s="6">
        <v>8</v>
      </c>
      <c r="Q58" s="6">
        <v>11</v>
      </c>
      <c r="S58" s="1">
        <v>9.1444629646275644E-12</v>
      </c>
      <c r="T58" s="1">
        <v>1.2751577571634698E-11</v>
      </c>
      <c r="U58" s="1">
        <v>1.2751577571634698E-11</v>
      </c>
    </row>
    <row r="59" spans="1:21" x14ac:dyDescent="0.25">
      <c r="A59" s="1" t="s">
        <v>74</v>
      </c>
      <c r="C59" s="3">
        <v>-1.16422427254292E-11</v>
      </c>
      <c r="D59" s="3">
        <v>-1.88417849490228E-25</v>
      </c>
      <c r="E59" s="3">
        <v>6.9549516834707299E-12</v>
      </c>
      <c r="G59" s="6">
        <v>0</v>
      </c>
      <c r="I59" s="1">
        <f t="shared" si="3"/>
        <v>1.16422427254292E-11</v>
      </c>
      <c r="J59" s="1">
        <f t="shared" si="4"/>
        <v>1.88417849490228E-25</v>
      </c>
      <c r="K59" s="1">
        <f t="shared" si="5"/>
        <v>6.9549516834707299E-12</v>
      </c>
      <c r="M59" s="6">
        <v>2</v>
      </c>
      <c r="O59" s="6">
        <v>30</v>
      </c>
      <c r="P59" s="6">
        <v>14</v>
      </c>
      <c r="Q59" s="6">
        <v>13</v>
      </c>
      <c r="S59" s="1">
        <v>1.16422427254292E-11</v>
      </c>
      <c r="T59" s="1">
        <v>1.88417849490228E-25</v>
      </c>
      <c r="U59" s="1">
        <v>6.9549516834707299E-12</v>
      </c>
    </row>
    <row r="60" spans="1:21" x14ac:dyDescent="0.25">
      <c r="A60" s="1" t="s">
        <v>75</v>
      </c>
      <c r="C60" s="3">
        <v>2.9096725029376103E-12</v>
      </c>
      <c r="D60" s="3">
        <v>-9.4663308626521417E-30</v>
      </c>
      <c r="E60" s="3">
        <v>8.2905001426761792E-16</v>
      </c>
      <c r="G60" s="6">
        <v>0</v>
      </c>
      <c r="I60" s="1">
        <f t="shared" si="3"/>
        <v>2.9096725029376103E-12</v>
      </c>
      <c r="J60" s="1">
        <f t="shared" si="4"/>
        <v>9.4663308626521417E-30</v>
      </c>
      <c r="K60" s="1">
        <f t="shared" si="5"/>
        <v>8.2905001426761792E-16</v>
      </c>
      <c r="M60" s="6">
        <v>1</v>
      </c>
      <c r="O60" s="6">
        <v>29</v>
      </c>
      <c r="P60" s="6">
        <v>5</v>
      </c>
      <c r="Q60" s="6">
        <v>5</v>
      </c>
      <c r="S60" s="1">
        <v>2.9096725029376103E-12</v>
      </c>
      <c r="T60" s="1">
        <v>9.4663308626521417E-30</v>
      </c>
      <c r="U60" s="1">
        <v>8.2905001426761792E-16</v>
      </c>
    </row>
    <row r="61" spans="1:21" x14ac:dyDescent="0.25">
      <c r="A61" s="1" t="s">
        <v>76</v>
      </c>
      <c r="C61" s="3">
        <v>-1.05409255339036</v>
      </c>
      <c r="D61" s="3">
        <v>-1.0540925533894501</v>
      </c>
      <c r="E61" s="3">
        <v>-5.0821976835258002E-20</v>
      </c>
      <c r="G61" s="6">
        <v>-1.054092553</v>
      </c>
      <c r="I61" s="1">
        <f t="shared" si="3"/>
        <v>3.9035996657332817E-10</v>
      </c>
      <c r="J61" s="1">
        <f t="shared" si="4"/>
        <v>3.8945002778234539E-10</v>
      </c>
      <c r="K61" s="1">
        <f t="shared" si="5"/>
        <v>1.054092553</v>
      </c>
      <c r="M61" s="6">
        <v>3</v>
      </c>
      <c r="O61" s="6">
        <v>36</v>
      </c>
      <c r="P61" s="6">
        <v>19</v>
      </c>
      <c r="Q61" s="6">
        <v>20</v>
      </c>
      <c r="S61" s="1">
        <v>3.9035996657332817E-10</v>
      </c>
      <c r="T61" s="1">
        <v>3.8945002778234539E-10</v>
      </c>
      <c r="U61" s="1">
        <v>1.054092553</v>
      </c>
    </row>
    <row r="62" spans="1:21" x14ac:dyDescent="0.25">
      <c r="A62" s="1" t="s">
        <v>77</v>
      </c>
      <c r="C62" s="3">
        <v>1.7475385416357305</v>
      </c>
      <c r="D62" s="3">
        <v>1.7475385416352018</v>
      </c>
      <c r="E62" s="3">
        <v>1.7475385416352069</v>
      </c>
      <c r="G62" s="6">
        <v>1.747538542</v>
      </c>
      <c r="I62" s="1">
        <f t="shared" si="3"/>
        <v>3.6426950345003206E-10</v>
      </c>
      <c r="J62" s="1">
        <f t="shared" si="4"/>
        <v>3.6479819165435856E-10</v>
      </c>
      <c r="K62" s="1">
        <f t="shared" si="5"/>
        <v>3.6479308462844529E-10</v>
      </c>
      <c r="M62" s="6">
        <v>1</v>
      </c>
      <c r="O62" s="6">
        <v>26</v>
      </c>
      <c r="P62" s="6">
        <v>5</v>
      </c>
      <c r="Q62" s="6">
        <v>6</v>
      </c>
      <c r="S62" s="1">
        <v>3.6426950345003206E-10</v>
      </c>
      <c r="T62" s="1">
        <v>3.6479819165435856E-10</v>
      </c>
      <c r="U62" s="1">
        <v>3.6479308462844529E-10</v>
      </c>
    </row>
    <row r="63" spans="1:21" x14ac:dyDescent="0.25">
      <c r="A63" s="1" t="s">
        <v>78</v>
      </c>
      <c r="C63" s="3">
        <v>-2.44948974279104</v>
      </c>
      <c r="D63" s="3">
        <v>-2.4494897427831699</v>
      </c>
      <c r="E63" s="3">
        <v>-2.4494897427831699</v>
      </c>
      <c r="G63" s="6">
        <f>-SQRT(6)</f>
        <v>-2.4494897427831779</v>
      </c>
      <c r="I63" s="1">
        <f t="shared" si="3"/>
        <v>7.8621553711855086E-12</v>
      </c>
      <c r="J63" s="1">
        <f t="shared" si="4"/>
        <v>7.9936057773011271E-15</v>
      </c>
      <c r="K63" s="1">
        <f t="shared" si="5"/>
        <v>7.9936057773011271E-15</v>
      </c>
      <c r="M63" s="6">
        <v>2</v>
      </c>
      <c r="O63" s="6">
        <v>22</v>
      </c>
      <c r="P63" s="6">
        <v>10</v>
      </c>
      <c r="Q63" s="6">
        <v>10</v>
      </c>
      <c r="S63" s="1">
        <v>7.8621553711855086E-12</v>
      </c>
      <c r="T63" s="1">
        <v>7.9936057773011271E-15</v>
      </c>
      <c r="U63" s="1">
        <v>7.9936057773011271E-15</v>
      </c>
    </row>
  </sheetData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F271EA-18A3-4B22-B964-CCA9099934B1}">
  <sheetPr codeName="Sheet2"/>
  <dimension ref="A1"/>
  <sheetViews>
    <sheetView tabSelected="1" workbookViewId="0"/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Resultaten</vt:lpstr>
      <vt:lpstr>ZonderEerste graad</vt:lpstr>
      <vt:lpstr>Grafieken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Linus Beheydt</cp:lastModifiedBy>
  <dcterms:created xsi:type="dcterms:W3CDTF">2024-11-27T19:45:57Z</dcterms:created>
  <dcterms:modified xsi:type="dcterms:W3CDTF">2025-03-29T11:23:26Z</dcterms:modified>
</cp:coreProperties>
</file>